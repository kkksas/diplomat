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\\wsl.localhost\Debian\home\kivanov\diplomat\anextour parser\"/>
    </mc:Choice>
  </mc:AlternateContent>
  <xr:revisionPtr revIDLastSave="0" documentId="13_ncr:1_{7DC22ABA-F30B-4A1B-A53A-E85FA2A47D9E}" xr6:coauthVersionLast="47" xr6:coauthVersionMax="47" xr10:uidLastSave="{00000000-0000-0000-0000-000000000000}"/>
  <bookViews>
    <workbookView xWindow="11715" yWindow="4560" windowWidth="26655" windowHeight="16425" xr2:uid="{00000000-000D-0000-FFFF-FFFF00000000}"/>
  </bookViews>
  <sheets>
    <sheet name="qwen3_08B" sheetId="3" r:id="rId1"/>
    <sheet name="e5" sheetId="1" r:id="rId2"/>
    <sheet name="alt_qwen3_08B" sheetId="4" r:id="rId3"/>
    <sheet name="alt_e5" sheetId="2" r:id="rId4"/>
    <sheet name="res" sheetId="5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5" l="1"/>
  <c r="C3" i="5"/>
  <c r="D3" i="5"/>
  <c r="E3" i="5"/>
  <c r="F3" i="5"/>
  <c r="G3" i="5"/>
  <c r="H3" i="5"/>
  <c r="I3" i="5"/>
  <c r="J3" i="5"/>
  <c r="K3" i="5"/>
  <c r="B6" i="5"/>
  <c r="C6" i="5"/>
  <c r="D6" i="5"/>
  <c r="E6" i="5"/>
  <c r="F6" i="5"/>
  <c r="G6" i="5"/>
  <c r="H6" i="5"/>
  <c r="I6" i="5"/>
  <c r="J6" i="5"/>
  <c r="K6" i="5"/>
  <c r="B5" i="5"/>
  <c r="C5" i="5"/>
  <c r="D5" i="5"/>
  <c r="E5" i="5"/>
  <c r="F5" i="5"/>
  <c r="G5" i="5"/>
  <c r="H5" i="5"/>
  <c r="I5" i="5"/>
  <c r="J5" i="5"/>
  <c r="K5" i="5"/>
  <c r="B2" i="5"/>
  <c r="C2" i="5"/>
  <c r="D2" i="5"/>
  <c r="E2" i="5"/>
  <c r="F2" i="5"/>
  <c r="G2" i="5"/>
  <c r="H2" i="5"/>
  <c r="I2" i="5"/>
  <c r="J2" i="5"/>
  <c r="K2" i="5"/>
  <c r="N58" i="2"/>
  <c r="M58" i="2"/>
  <c r="L58" i="2"/>
  <c r="K58" i="2"/>
  <c r="J58" i="2"/>
  <c r="I58" i="2"/>
  <c r="H58" i="2"/>
  <c r="G58" i="2"/>
  <c r="F58" i="2"/>
  <c r="E58" i="2"/>
  <c r="F56" i="2"/>
  <c r="G56" i="2"/>
  <c r="H56" i="2"/>
  <c r="I56" i="2"/>
  <c r="J56" i="2"/>
  <c r="K56" i="2"/>
  <c r="L56" i="2"/>
  <c r="M56" i="2"/>
  <c r="N56" i="2"/>
  <c r="E56" i="2"/>
  <c r="N34" i="2"/>
  <c r="M34" i="2"/>
  <c r="L34" i="2"/>
  <c r="K34" i="2"/>
  <c r="J34" i="2"/>
  <c r="I34" i="2"/>
  <c r="H34" i="2"/>
  <c r="G34" i="2"/>
  <c r="F34" i="2"/>
  <c r="E34" i="2"/>
  <c r="N23" i="2"/>
  <c r="M23" i="2"/>
  <c r="L23" i="2"/>
  <c r="K23" i="2"/>
  <c r="J23" i="2"/>
  <c r="I23" i="2"/>
  <c r="H23" i="2"/>
  <c r="G23" i="2"/>
  <c r="F23" i="2"/>
  <c r="E23" i="2"/>
  <c r="F12" i="2"/>
  <c r="G12" i="2"/>
  <c r="H12" i="2"/>
  <c r="I12" i="2"/>
  <c r="J12" i="2"/>
  <c r="K12" i="2"/>
  <c r="L12" i="2"/>
  <c r="M12" i="2"/>
  <c r="N12" i="2"/>
  <c r="E12" i="2"/>
  <c r="N58" i="4"/>
  <c r="M58" i="4"/>
  <c r="L58" i="4"/>
  <c r="K58" i="4"/>
  <c r="J58" i="4"/>
  <c r="I58" i="4"/>
  <c r="H58" i="4"/>
  <c r="G58" i="4"/>
  <c r="F58" i="4"/>
  <c r="E58" i="4"/>
  <c r="N58" i="3"/>
  <c r="M58" i="3"/>
  <c r="L58" i="3"/>
  <c r="K58" i="3"/>
  <c r="J58" i="3"/>
  <c r="I58" i="3"/>
  <c r="H58" i="3"/>
  <c r="G58" i="3"/>
  <c r="F58" i="3"/>
  <c r="E58" i="3"/>
  <c r="F58" i="1"/>
  <c r="G58" i="1"/>
  <c r="H58" i="1"/>
  <c r="I58" i="1"/>
  <c r="J58" i="1"/>
  <c r="K58" i="1"/>
  <c r="L58" i="1"/>
  <c r="M58" i="1"/>
  <c r="N58" i="1"/>
  <c r="E58" i="1"/>
  <c r="F56" i="4"/>
  <c r="G56" i="4"/>
  <c r="H56" i="4"/>
  <c r="I56" i="4"/>
  <c r="J56" i="4"/>
  <c r="K56" i="4"/>
  <c r="L56" i="4"/>
  <c r="M56" i="4"/>
  <c r="N56" i="4"/>
  <c r="E56" i="4"/>
  <c r="N34" i="4"/>
  <c r="M34" i="4"/>
  <c r="L34" i="4"/>
  <c r="K34" i="4"/>
  <c r="J34" i="4"/>
  <c r="I34" i="4"/>
  <c r="H34" i="4"/>
  <c r="G34" i="4"/>
  <c r="F34" i="4"/>
  <c r="E34" i="4"/>
  <c r="N23" i="4"/>
  <c r="M23" i="4"/>
  <c r="L23" i="4"/>
  <c r="K23" i="4"/>
  <c r="J23" i="4"/>
  <c r="I23" i="4"/>
  <c r="H23" i="4"/>
  <c r="G23" i="4"/>
  <c r="F23" i="4"/>
  <c r="E23" i="4"/>
  <c r="F12" i="4"/>
  <c r="G12" i="4"/>
  <c r="H12" i="4"/>
  <c r="I12" i="4"/>
  <c r="J12" i="4"/>
  <c r="K12" i="4"/>
  <c r="L12" i="4"/>
  <c r="M12" i="4"/>
  <c r="N12" i="4"/>
  <c r="E12" i="4"/>
  <c r="F56" i="3"/>
  <c r="G56" i="3"/>
  <c r="H56" i="3"/>
  <c r="I56" i="3"/>
  <c r="J56" i="3"/>
  <c r="K56" i="3"/>
  <c r="L56" i="3"/>
  <c r="M56" i="3"/>
  <c r="N56" i="3"/>
  <c r="E56" i="3"/>
  <c r="N34" i="3"/>
  <c r="M34" i="3"/>
  <c r="L34" i="3"/>
  <c r="K34" i="3"/>
  <c r="J34" i="3"/>
  <c r="I34" i="3"/>
  <c r="H34" i="3"/>
  <c r="G34" i="3"/>
  <c r="F34" i="3"/>
  <c r="E34" i="3"/>
  <c r="N23" i="3"/>
  <c r="M23" i="3"/>
  <c r="L23" i="3"/>
  <c r="K23" i="3"/>
  <c r="J23" i="3"/>
  <c r="I23" i="3"/>
  <c r="H23" i="3"/>
  <c r="G23" i="3"/>
  <c r="F23" i="3"/>
  <c r="E23" i="3"/>
  <c r="F12" i="3"/>
  <c r="G12" i="3"/>
  <c r="H12" i="3"/>
  <c r="I12" i="3"/>
  <c r="J12" i="3"/>
  <c r="K12" i="3"/>
  <c r="L12" i="3"/>
  <c r="M12" i="3"/>
  <c r="N12" i="3"/>
  <c r="E12" i="3"/>
  <c r="F56" i="1"/>
  <c r="G56" i="1"/>
  <c r="H56" i="1"/>
  <c r="I56" i="1"/>
  <c r="J56" i="1"/>
  <c r="K56" i="1"/>
  <c r="L56" i="1"/>
  <c r="M56" i="1"/>
  <c r="N56" i="1"/>
  <c r="E56" i="1"/>
  <c r="N34" i="1"/>
  <c r="M34" i="1"/>
  <c r="L34" i="1"/>
  <c r="K34" i="1"/>
  <c r="J34" i="1"/>
  <c r="I34" i="1"/>
  <c r="H34" i="1"/>
  <c r="G34" i="1"/>
  <c r="F34" i="1"/>
  <c r="E34" i="1"/>
  <c r="N23" i="1"/>
  <c r="M23" i="1"/>
  <c r="L23" i="1"/>
  <c r="K23" i="1"/>
  <c r="J23" i="1"/>
  <c r="I23" i="1"/>
  <c r="H23" i="1"/>
  <c r="G23" i="1"/>
  <c r="F23" i="1"/>
  <c r="E23" i="1"/>
  <c r="F12" i="1"/>
  <c r="G12" i="1"/>
  <c r="H12" i="1"/>
  <c r="I12" i="1"/>
  <c r="J12" i="1"/>
  <c r="K12" i="1"/>
  <c r="L12" i="1"/>
  <c r="M12" i="1"/>
  <c r="N12" i="1"/>
  <c r="E12" i="1"/>
</calcChain>
</file>

<file path=xl/sharedStrings.xml><?xml version="1.0" encoding="utf-8"?>
<sst xmlns="http://schemas.openxmlformats.org/spreadsheetml/2006/main" count="878" uniqueCount="235">
  <si>
    <t>id</t>
  </si>
  <si>
    <t>question</t>
  </si>
  <si>
    <t>relv</t>
  </si>
  <si>
    <t>ret_chunks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</si>
  <si>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</si>
  <si>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</si>
  <si>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</si>
  <si>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</si>
  <si>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</si>
  <si>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</si>
  <si>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</si>
  <si>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</si>
  <si>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</si>
  <si>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</si>
  <si>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0</t>
  </si>
  <si>
    <t>Какой вес имеет "Висячий камень" в парке Ергаки?</t>
  </si>
  <si>
    <t>[90, 123, 149, 190]</t>
  </si>
  <si>
    <t>[np.int64(123), np.int64(149), np.int64(190), np.int64(90), np.int64(123), np.int64(123), np.int64(58), np.int64(156), np.int64(90), np.int64(149)]</t>
  </si>
  <si>
    <t>1</t>
  </si>
  <si>
    <t>Какова длина "Висячего камня" в парке Ергаки?</t>
  </si>
  <si>
    <t>[np.int64(123), np.int64(151), np.int64(58), np.int64(89), np.int64(156), np.int64(90), np.int64(149), np.int64(190), np.int64(156), np.int64(118)]</t>
  </si>
  <si>
    <t>2</t>
  </si>
  <si>
    <t>Сколько ступеней в лестнице музея "Оглахты"?</t>
  </si>
  <si>
    <t>[47, 48, 89, 90, 147, 151]</t>
  </si>
  <si>
    <t>[np.int64(90), np.int64(48), np.int64(149), np.int64(47), np.int64(147), np.int64(47), np.int64(89), np.int64(149), np.int64(147), np.int64(9)]</t>
  </si>
  <si>
    <t>3</t>
  </si>
  <si>
    <t>Сколько видов сыра предлагает сыроварня Deutsches Haus в Немане?</t>
  </si>
  <si>
    <t>[33]</t>
  </si>
  <si>
    <t>[np.int64(31), np.int64(33), np.int64(76), np.int64(74), np.int64(72), np.int64(79), np.int64(87), np.int64(88), np.int64(218)]</t>
  </si>
  <si>
    <t>4</t>
  </si>
  <si>
    <t>Сколько экспонатов в собрании Национального музея Республики Татарстан?</t>
  </si>
  <si>
    <t>[39]</t>
  </si>
  <si>
    <t>[np.int64(39), np.int64(18), np.int64(155), np.int64(47), np.int64(182), np.int64(213), np.int64(58), np.int64(118), np.int64(127), np.int64(184)]</t>
  </si>
  <si>
    <t>5</t>
  </si>
  <si>
    <t>Сколько порогов проходят при сплаве по реке Катунь?</t>
  </si>
  <si>
    <t>[30, 31]</t>
  </si>
  <si>
    <t>[np.int64(30), np.int64(29), np.int64(193), np.int64(192), np.int64(218), np.int64(157), np.int64(158), np.int64(193), np.int64(159)]</t>
  </si>
  <si>
    <t>6</t>
  </si>
  <si>
    <t>Сколько островов входит в экскурсию "Семь чудес Чивыркуйского залива"?</t>
  </si>
  <si>
    <t>[41]</t>
  </si>
  <si>
    <t>[np.int64(181), np.int64(41), np.int64(184), np.int64(163), np.int64(212), np.int64(118), np.int64(2), np.int64(225), np.int64(115)]</t>
  </si>
  <si>
    <t>7</t>
  </si>
  <si>
    <t>Сколько бухт посещают во время экскурсии "Семь чудес Чивыркуйского залива"?</t>
  </si>
  <si>
    <t>[np.int64(180), np.int64(41), np.int64(213), np.int64(182), np.int64(182), np.int64(126), np.int64(212), np.int64(5), np.int64(174)]</t>
  </si>
  <si>
    <t>8</t>
  </si>
  <si>
    <t>Сколько источников с целебной водой можно попробовать на курорте "Марциальные Воды"?</t>
  </si>
  <si>
    <t>[9, 58, 156]</t>
  </si>
  <si>
    <t>[np.int64(156), np.int64(114), np.int64(108), np.int64(109), np.int64(82), np.int64(205), np.int64(163), np.int64(134), np.int64(9), np.int64(166)]</t>
  </si>
  <si>
    <t>9</t>
  </si>
  <si>
    <t>Сколько живописных и графических работ представлено в галерее Константина Васильева?</t>
  </si>
  <si>
    <t>[15]</t>
  </si>
  <si>
    <t>[np.int64(15), np.int64(15), np.int64(223), np.int64(209), np.int64(182), np.int64(41), np.int64(206), np.int64(176), np.int64(166), np.int64(187)]</t>
  </si>
  <si>
    <t>Где хранится самый большой печатный Коран в мире, хранящийся в Болгаре?</t>
  </si>
  <si>
    <t>[12, 13, 16, 17, 18]</t>
  </si>
  <si>
    <t>[np.int64(28), np.int64(18), np.int64(13), np.int64(12), np.int64(17), np.int64(142)]</t>
  </si>
  <si>
    <t>Какой минерал является гордостью Карелии</t>
  </si>
  <si>
    <t>[9, 156]</t>
  </si>
  <si>
    <t>[np.int64(21), np.int64(9), np.int64(156), np.int64(156), np.int64(42), np.int64(194), np.int64(42), np.int64(7), np.int64(186)]</t>
  </si>
  <si>
    <t>Какой тип пения демонстрируют в Тувинском национальном музыкальном центре?</t>
  </si>
  <si>
    <t>[45, 90, 123, 149, 150]</t>
  </si>
  <si>
    <t>[np.int64(90), np.int64(16), np.int64(17), np.int64(45), np.int64(123), np.int64(149), np.int64(18), np.int64(20), np.int64(19)]</t>
  </si>
  <si>
    <t>Какой напиток предлагают гостям в усадьбе Бюргера в Выборге?</t>
  </si>
  <si>
    <t>[8]</t>
  </si>
  <si>
    <t>[np.int64(8), np.int64(99), np.int64(99), np.int64(105), np.int64(104), np.int64(137), np.int64(123), np.int64(90), np.int64(45), np.int64(89)]</t>
  </si>
  <si>
    <t>Как называется традиционная тувинская выпечка, которую подают на ужине?</t>
  </si>
  <si>
    <t>[45, 90, 149, 150]</t>
  </si>
  <si>
    <t>[np.int64(153), np.int64(15), np.int64(149), np.int64(147), np.int64(223), np.int64(89), np.int64(93)]</t>
  </si>
  <si>
    <t>Как называется традиционная бурятская еда, которую подают в Тункинской долине?</t>
  </si>
  <si>
    <t>[np.int64(155), np.int64(15), np.int64(42), np.int64(183), np.int64(223), np.int64(191), np.int64(89)]</t>
  </si>
  <si>
    <t>Как называется место в Хакасии, где можно увидеть след Будды?</t>
  </si>
  <si>
    <t>[np.int64(15), np.int64(123), np.int64(150), np.int64(90), np.int64(45), np.int64(149), np.int64(147), np.int64(89), np.int64(223)]</t>
  </si>
  <si>
    <t>Какое поэтическое название используют для Телецкого озера в описаниях туров?</t>
  </si>
  <si>
    <t>[29, 30, 31, 92, 93, 94, 159, 194, 215, 216, 218]</t>
  </si>
  <si>
    <t>[np.int64(159), np.int64(171), np.int64(5), np.int64(93), np.int64(224), np.int64(225), np.int64(9)]</t>
  </si>
  <si>
    <t>Какая из буддийских ступ расположена на острове Огой?</t>
  </si>
  <si>
    <t>[57, 120, 124, 185]</t>
  </si>
  <si>
    <t>[np.int64(122), np.int64(121), np.int64(69), np.int64(137), np.int64(51), np.int64(50), np.int64(175), np.int64(121), np.int64(138), np.int64(138)]</t>
  </si>
  <si>
    <t>Какой уникальный архитектурный стиль характеризует библиотеку Алвара Аалто в Выборге?</t>
  </si>
  <si>
    <t>[np.int64(8), np.int64(8), np.int64(99), np.int64(155), np.int64(18), np.int64(39), np.int64(11), np.int64(15), np.int64(54), np.int64(126)]</t>
  </si>
  <si>
    <t>Какие два моста являются символами Владивостока?</t>
  </si>
  <si>
    <t>[46, 118, 119, 182, 183, 184, 196, 212, 213, 214]</t>
  </si>
  <si>
    <t>[np.int64(182), np.int64(212), np.int64(119), np.int64(214), np.int64(212), np.int64(119), np.int64(15), np.int64(147), np.int64(183), np.int64(51)]</t>
  </si>
  <si>
    <t>Какие залы можно осмотреть в Храме всех религий?</t>
  </si>
  <si>
    <t>[13, 39, 40, 54, 55, 152, 153, 154, 155]</t>
  </si>
  <si>
    <t>[np.int64(40), np.int64(191), np.int64(54), np.int64(108), np.int64(13), np.int64(5), np.int64(15), np.int64(36), np.int64(99)]</t>
  </si>
  <si>
    <t>Блюда из каких виды морских обитателей дегустируют во Владивостоке?</t>
  </si>
  <si>
    <t>[46, 196, 212, 213]</t>
  </si>
  <si>
    <t>[np.int64(224), np.int64(184), np.int64(183), np.int64(139), np.int64(170), np.int64(213), np.int64(196), np.int64(50), np.int64(105)]</t>
  </si>
  <si>
    <t>Какие животные обитают в сафари-парке Шкотово?</t>
  </si>
  <si>
    <t>[46, 118, 119, 214]</t>
  </si>
  <si>
    <t>[np.int64(165), np.int64(178), np.int64(196), np.int64(15), np.int64(214), np.int64(119), np.int64(50), np.int64(46), np.int64(175), np.int64(191)]</t>
  </si>
  <si>
    <t>Что чаще всего посещают во время экскурсии в Царское Село?</t>
  </si>
  <si>
    <t>[3, 4, 6, 7, 27, 28, 44, 201]</t>
  </si>
  <si>
    <t>[np.int64(28), np.int64(6), np.int64(44), np.int64(201), np.int64(3), np.int64(4), np.int64(88), np.int64(7), np.int64(28)]</t>
  </si>
  <si>
    <t>Что включает в себя экскурсия в Эрмитаж?</t>
  </si>
  <si>
    <t>[2, 3, 4, 5, 6, 7, 28, 44, 99, 125, 201]</t>
  </si>
  <si>
    <t>[np.int64(201), np.int64(7), np.int64(201), np.int64(3), np.int64(28), np.int64(120), np.int64(44), np.int64(3), np.int64(4), np.int64(151)]</t>
  </si>
  <si>
    <t>Какие объекты посещают во время экскурсии по Свияжску?</t>
  </si>
  <si>
    <t>[10, 11, 12, 13, 14, 15, 16, 17, 18, 19, 20, 40, 54, 55, 152, 153, 154, 155]</t>
  </si>
  <si>
    <t>[np.int64(30), np.int64(51), np.int64(191), np.int64(175), np.int64(15), np.int64(50), np.int64(9), np.int64(68)]</t>
  </si>
  <si>
    <t>Какие сувениры можно приобрести в Йошкар-Оле?</t>
  </si>
  <si>
    <t>[16, 17, 18, 19, 20]</t>
  </si>
  <si>
    <t>[np.int64(30), np.int64(113), np.int64(218), np.int64(127), np.int64(217), np.int64(56), np.int64(47), np.int64(61), np.int64(59)]</t>
  </si>
  <si>
    <t>на что можно посмотреть в Кунсткамере?</t>
  </si>
  <si>
    <t>[23, 24, 25, 26, 27, 28]</t>
  </si>
  <si>
    <t>[np.int64(223), np.int64(138), np.int64(45), np.int64(170), np.int64(67), np.int64(197), np.int64(59), np.int64(31), np.int64(225), np.int64(69)]</t>
  </si>
  <si>
    <t>Как называются постройки на острове Кижи?</t>
  </si>
  <si>
    <t>[44]</t>
  </si>
  <si>
    <t>[np.int64(153), np.int64(14), np.int64(44), np.int64(44), np.int64(197), np.int64(5), np.int64(15)]</t>
  </si>
  <si>
    <t>хочу тур по культурной столице России, с посещением окрестных достопримечательностей</t>
  </si>
  <si>
    <t>[2, 3, 4, 5, 6, 7, 8, 23, 24, 25, 26, 27, 28, 125, 126, 201]</t>
  </si>
  <si>
    <t>[np.int64(117), np.int64(33), np.int64(126), np.int64(43), np.int64(111), np.int64(194), np.int64(197)]</t>
  </si>
  <si>
    <t>Интересует тур в один из древнейших городов России, связанный имуществом родителей величайшего поэтв золотого века российской литературы</t>
  </si>
  <si>
    <t>[100, 101, 102, 103, 104, 105, 106, 107]</t>
  </si>
  <si>
    <t>[np.int64(109), np.int64(115), np.int64(43), np.int64(164), np.int64(116)]</t>
  </si>
  <si>
    <t>тур по северо-западу России, с посещением мест, где река с грохотом обрушивается вниз, старинного курорта с целебными источниками и обзорной экскурсией по столице региона.</t>
  </si>
  <si>
    <t>[9, 44, 58, 156, 201]</t>
  </si>
  <si>
    <t>[np.int64(16), np.int64(6), np.int64(126), np.int64(113), np.int64(42), np.int64(56), np.int64(126), np.int64(12), np.int64(33)]</t>
  </si>
  <si>
    <t>Ищу тур по главному городу Приморья с обзорной экскурсией по центру и парку дикой природы с дальневосточными животными</t>
  </si>
  <si>
    <t>[np.int64(0), np.int64(126), np.int64(46), np.int64(118), np.int64(174), np.int64(116), np.int64(199), np.int64(99), np.int64(213), np.int64(122)]</t>
  </si>
  <si>
    <t>тур по столице России, включающий в себя наиболее популярные достопримечательности</t>
  </si>
  <si>
    <t>[0, 1]</t>
  </si>
  <si>
    <t>[np.int64(153), np.int64(43), np.int64(10), np.int64(11), np.int64(126), np.int64(174), np.int64(127), np.int64(25)]</t>
  </si>
  <si>
    <t>тур по северо-западу России, по местам добычи минералов, известных своими целебными свойствами</t>
  </si>
  <si>
    <t>[np.int64(43), np.int64(199), np.int64(174), np.int64(41), np.int64(166), np.int64(175), np.int64(50), np.int64(191), np.int64(191), np.int64(49)]</t>
  </si>
  <si>
    <t>тур по заполярью России, с возможностью посмотреть на  морских животных</t>
  </si>
  <si>
    <t>[172, 173, 174, 176, 189]</t>
  </si>
  <si>
    <t>[np.int64(171), np.int64(43), np.int64(174), np.int64(99), np.int64(185), np.int64(170), np.int64(126), np.int64(190), np.int64(16)]</t>
  </si>
  <si>
    <t>тур на полуостров вулканов, включающий посещение горных массивов, а также различных водных объектов</t>
  </si>
  <si>
    <t>[198, 199, 200]</t>
  </si>
  <si>
    <t>[np.int64(43), np.int64(42), np.int64(58), np.int64(174), np.int64(148), np.int64(213), np.int64(199), np.int64(182), np.int64(117), np.int64(139)]</t>
  </si>
  <si>
    <t>тур по крупнейшему острову России в Тихом океане, с посещением живописных прибрежных зон и природных объектов</t>
  </si>
  <si>
    <t>[168, 169, 170, 171, 225, 224]</t>
  </si>
  <si>
    <t>[np.int64(181), np.int64(6), np.int64(126), np.int64(43), np.int64(174), np.int64(194), np.int64(58), np.int64(150), np.int64(56)]</t>
  </si>
  <si>
    <t>поездка в регион России, расположенный на островах в Тихом океане, с посещением побережья одного из морей Дальнего Востока и оздоровительных термальных источников на одном из островов архипелага.</t>
  </si>
  <si>
    <t>[171, 225, 224]</t>
  </si>
  <si>
    <t>[np.int64(9), np.int64(41), np.int64(182), np.int64(213), np.int64(108), np.int64(224), np.int64(171), np.int64(115), np.int64(185)]</t>
  </si>
  <si>
    <t>10</t>
  </si>
  <si>
    <t>Ищу тур в бышем Кённингсберге с проживанием в санаторно-курортном комплексе, включающий комплексную диагностику организма и широкий спектр релаксационных и восстановительных процедур.</t>
  </si>
  <si>
    <t>[160, 161, 162]</t>
  </si>
  <si>
    <t>[np.int64(161), np.int64(134), np.int64(174), np.int64(187), np.int64(214), np.int64(43), np.int64(215), np.int64(216)]</t>
  </si>
  <si>
    <t>11</t>
  </si>
  <si>
    <t>Ищу тур в самый западный регион России с посещением его главного города и живописных окрестностей, включая места, где добывают и обрабатывают солнечный камень.</t>
  </si>
  <si>
    <t>[32, 33, 34, 35, 128, 129, 130, 131, 132, 180, 181, 211]</t>
  </si>
  <si>
    <t>[np.int64(6), np.int64(116), np.int64(43), np.int64(51), np.int64(106), np.int64(107), np.int64(99), np.int64(175), np.int64(109), np.int64(126)]</t>
  </si>
  <si>
    <t>12</t>
  </si>
  <si>
    <t>тур по городу, называемому "отцом городов русских", с целью ознакомления с древнерусским искусством и архитектурой, включающий посещение основных достопримечательностей, музеев и выставок</t>
  </si>
  <si>
    <t>[108, 109, 110, 111, 112, 114, 115, 116, 117, 197]</t>
  </si>
  <si>
    <t>[np.int64(16), np.int64(33), np.int64(149), np.int64(142), np.int64(174), np.int64(2), np.int64(58), np.int64(116), np.int64(17)]</t>
  </si>
  <si>
    <t>13</t>
  </si>
  <si>
    <t>тур по городу, называемому "отцом городов русских", с посещение места, посвященного всемирно известному русскому писателю</t>
  </si>
  <si>
    <t>[108, 109, 114]</t>
  </si>
  <si>
    <t>[np.int64(43), np.int64(174), np.int64(126), np.int64(142), np.int64(15), np.int64(39), np.int64(116), np.int64(224), np.int64(171), np.int64(170)]</t>
  </si>
  <si>
    <t>14</t>
  </si>
  <si>
    <t>тур в южную Сибирь, который покажет красоту местой природы, а также погрузит в культуру местного населения</t>
  </si>
  <si>
    <t>[45, 47, 48, 59, 89, 90, 123, 147, 148, 149, 150, 151, 190]</t>
  </si>
  <si>
    <t>[np.int64(57), np.int64(43), np.int64(59), np.int64(9), np.int64(156), np.int64(130), np.int64(174), np.int64(104), np.int64(131), np.int64(106)]</t>
  </si>
  <si>
    <t>15</t>
  </si>
  <si>
    <t>тур по региону на побережье каспийского моря ,включающий экскурсии по природным возвышиностям и водным объектам, а также по поселениям местных жителей действующих или древних</t>
  </si>
  <si>
    <t>[60, 61, 86, 127, 164, 177, 202, 210, 219, 220, 221, 222]</t>
  </si>
  <si>
    <t>[np.int64(224), np.int64(43), np.int64(170), np.int64(223), np.int64(56), np.int64(171), np.int64(164), np.int64(36), np.int64(174)]</t>
  </si>
  <si>
    <t>16</t>
  </si>
  <si>
    <t>зимний тур по крупнейшему озеру в мире, включая экскурсии по островам озера, знакомство с его ключевыми мысами и скалами, а также исследование уникального льда, образующегося в зимний период</t>
  </si>
  <si>
    <t>[36, 41, 42, 43, 49, 50, 51, 56, 57, 67, 68, 69, 113, 120, 121, 122, 124, 137, 138, 139, 142, 175, 185, 191, 195, 223]</t>
  </si>
  <si>
    <t>[np.int64(224), np.int64(170), np.int64(157), np.int64(104), np.int64(43), np.int64(105), np.int64(172), np.int64(174), np.int64(8)]</t>
  </si>
  <si>
    <t>17</t>
  </si>
  <si>
    <t xml:space="preserve">тур по столице одного из  восточных регионов  Северного Кавказа по основным достопримечательностям, включая центральную мечеть, православный храм, центральный проспект, носящий имя известного деятеля культуры, и мемориальный комплекс, посвященный героям </t>
  </si>
  <si>
    <t>[66, 72, 83, 86, 87, 135, 136, 145]</t>
  </si>
  <si>
    <t>[np.int64(72), np.int64(145), np.int64(60), np.int64(16), np.int64(20), np.int64(134), np.int64(87), np.int64(11), np.int64(61), np.int64(16)]</t>
  </si>
  <si>
    <t>18</t>
  </si>
  <si>
    <t>Ищу тур по одному из регионов Северного Кавказа, с акцентом на активный отдых в горах и посещение древних христианских храмов</t>
  </si>
  <si>
    <t>[62, 64, 65, 144, 163, 165, 179, 186, 187]</t>
  </si>
  <si>
    <t>[np.int64(102), np.int64(43), np.int64(106), np.int64(61), np.int64(107), np.int64(117), np.int64(103), np.int64(101), np.int64(174)]</t>
  </si>
  <si>
    <t>19</t>
  </si>
  <si>
    <t>Меня интересует тур по одному из горных регионов на Северном Кавказе. Хотелось бы посетить высокогорный перевал и увидеть средневековые башенные комплексы, являющиеся уникальным образцом архитектуры.</t>
  </si>
  <si>
    <t>[65, 66, 72, 88, 133]</t>
  </si>
  <si>
    <t>[np.int64(88), np.int64(82), np.int64(134), np.int64(174), np.int64(166), np.int64(43), np.int64(72), np.int64(146), np.int64(21)]</t>
  </si>
  <si>
    <t>20</t>
  </si>
  <si>
    <t>тур по столице марийской республики, влючающая посещение площадей и набережных с возможностью попробовать местную кухню</t>
  </si>
  <si>
    <t>[np.int64(16), np.int64(17), np.int64(134), np.int64(19), np.int64(5), np.int64(82), np.int64(3), np.int64(127), np.int64(20)]</t>
  </si>
  <si>
    <t>[123, 90, 149, 190, 123, 190, 89, 47, 149, 190]</t>
  </si>
  <si>
    <t>[190, 123, 90, 47, 190, 89, 149, 149, 190, 90]</t>
  </si>
  <si>
    <t>[149, 90, 47, 48, 147, 120, 122, 175, 151, 321]</t>
  </si>
  <si>
    <t>[307, 33, 309, 311, 310, 312, 90, 261, 240, np.int64(31)]</t>
  </si>
  <si>
    <t>[152, 18, 39, 13, 20, 19, 154, 155, np.int64(155), np.int64(47)]</t>
  </si>
  <si>
    <t>[29, 30, 215, 218, 193, 93, np.int64(29), np.int64(193), np.int64(192), np.int64(157)]</t>
  </si>
  <si>
    <t>[288, 41, 105, 124, 49, 139, 46, 214, 83, np.int64(181)]</t>
  </si>
  <si>
    <t>[29, 362, 365, 41, 216, 199, np.int64(180), np.int64(213), np.int64(182), np.int64(182)]</t>
  </si>
  <si>
    <t>[9, 156, 134, 9, 179, 209, 84, 82, 225, np.int64(114)]</t>
  </si>
  <si>
    <t>[152, 14, 15, 15, 15, 154, np.int64(223), np.int64(209), np.int64(182), np.int64(41)]</t>
  </si>
  <si>
    <t>[16, 365, 13, 17, 12, 149, 139, 17, np.int64(28), np.int64(142)]</t>
  </si>
  <si>
    <t>[9, 156, 90, 138, 156, 156, 145, 191, 156, np.int64(21)]</t>
  </si>
  <si>
    <t>[90, 149, 45, 123, 150, 90, 150, 45, 123, np.int64(16)]</t>
  </si>
  <si>
    <t>[8, 99, 99, 99, 8, 99, 134, 286, 82, 359]</t>
  </si>
  <si>
    <t>[90, 150, 45, 90, 149, 149, 123, 45, 81, np.int64(153)]</t>
  </si>
  <si>
    <t>[42, 122, 122, 121, 196, 191, 137, 150, 149, 30]</t>
  </si>
  <si>
    <t>[149, 150, 123, 90, 45, 191, 139, 45, 50, 42]</t>
  </si>
  <si>
    <t>[92, 215, 30, 93, 215, 93, np.int64(171), np.int64(5), np.int64(224), np.int64(225)]</t>
  </si>
  <si>
    <t>[122, 175, 50, 121, 69, 51, 137, 138, 120, 149]</t>
  </si>
  <si>
    <t>[8, 99, 8, 18, 8, 149, 327, 267, 93, 265]</t>
  </si>
  <si>
    <t>[119, 183, 214, 119, 212, 118, 184, 212, 182, 183]</t>
  </si>
  <si>
    <t>[246, 40, 228, 13, 231, 240, np.int64(191), np.int64(54), np.int64(108), np.int64(5)]</t>
  </si>
  <si>
    <t>[46, 213, 212, 196, 214, 196, 118, 183, 119, 196]</t>
  </si>
  <si>
    <t>[119, 196, 214, 46, 214, 118, 182, 118, 172, 201]</t>
  </si>
  <si>
    <t>[27, 27, 3, 6, 44, 201, 4, 0, np.int64(4), np.int64(88)]</t>
  </si>
  <si>
    <t>[307, 201, 3, 28, 2, 99, 6, 305, np.int64(201), np.int64(7)]</t>
  </si>
  <si>
    <t>[10, 14, 40, 152, np.int64(30), np.int64(51), np.int64(191), np.int64(175), np.int64(15), np.int64(50)]</t>
  </si>
  <si>
    <t>[128, 16, 17, 19, 90, 68, 50, np.int64(30), np.int64(113), np.int64(218)]</t>
  </si>
  <si>
    <t>[153, 310, 37, 45, 154, 152, 54, np.int64(223), np.int64(138), np.int64(170)]</t>
  </si>
  <si>
    <t>[44, 69, 175, 50, 13, 54, 137, 113, 51, 184]</t>
  </si>
  <si>
    <t>[310, 108, 116, 20, 13, 19, np.int64(117), 109, 130, 309]</t>
  </si>
  <si>
    <t>[108, 116, 109, 108, 154, 230, 46, 114, 18, np.int64(115)]</t>
  </si>
  <si>
    <t>[180, 9, 108, 109, 130, 156, 122, 67, np.int64(16), np.int64(6)]</t>
  </si>
  <si>
    <t>[213, 118, 196, 306, 305, 304, 172, 9, 176, 46]</t>
  </si>
  <si>
    <t>[316, 108, 109, 306, 116, 304, 314, 305, 290, np.int64(153)]</t>
  </si>
  <si>
    <t>[58, 156, 122, 109, 121, 108, 215, 120, 90, 94]</t>
  </si>
  <si>
    <t>[46, 196, 118, 176, 122, 176, 214, 119, 93, 58]</t>
  </si>
  <si>
    <t>[230, 182, 199, 257, 182, 198, 58, np.int64(43), np.int64(42), np.int64(58)]</t>
  </si>
  <si>
    <t>[180, 30, 182, 93, 223, 214, 118, 118, np.int64(6), np.int64(126)]</t>
  </si>
  <si>
    <t>[230, 182, 225, 36, 41, 36, 182, np.int64(9), np.int64(41), np.int64(213)]</t>
  </si>
  <si>
    <t>[134, 285, 286, 138, 90, 45, 150, 82, 45, 90]</t>
  </si>
  <si>
    <t>[128, 180, 122, 156, 121, 215, 336, np.int64(6), np.int64(116), np.int64(43)]</t>
  </si>
  <si>
    <t>[365, 363, 109, 108, 135, 116, 136, 223, np.int64(16), np.int64(33)]</t>
  </si>
  <si>
    <t>[109, 105, 108, 102, 154, 315, 114, 100, 107, 312]</t>
  </si>
  <si>
    <t>[170, 171, 225, 169, 10, 224, 122, 168, 268, 51]</t>
  </si>
  <si>
    <t>[180, 9, 127, 225, 122, 134, 223, 257, np.int64(224), np.int64(43)]</t>
  </si>
  <si>
    <t>[92, 327, 191, 120, 50, 185, 51, 49, np.int64(224), np.int64(170)]</t>
  </si>
  <si>
    <t>[229, 367, np.int64(72), np.int64(145), np.int64(60), np.int64(16), np.int64(20), np.int64(134), np.int64(87), np.int64(11)]</t>
  </si>
  <si>
    <t>[9, 134, 82, 78, 218, 66, 95, 145, 215, np.int64(102)]</t>
  </si>
  <si>
    <t>[240, 93, 240, 215, 158, 227, 66, 95, np.int64(88), np.int64(82)]</t>
  </si>
  <si>
    <t>[16, 288, 19, 17, 20, 18, 314, 291, np.int64(134), np.int64(5)]</t>
  </si>
  <si>
    <t>точность на N-документов</t>
  </si>
  <si>
    <t>индикатор</t>
  </si>
  <si>
    <t>e5+bm25</t>
  </si>
  <si>
    <t>qwen3_08B+bm25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</si>
</sst>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 </a:t>
            </a:r>
            <a:r>
              <a:rPr lang="en-US"/>
              <a:t>rel_avg qwen3-Embedding-0.6B </a:t>
            </a:r>
            <a:r>
              <a:rPr lang="ru-RU"/>
              <a:t>и </a:t>
            </a:r>
            <a:r>
              <a:rPr lang="en-US"/>
              <a:t>bm25 </a:t>
            </a:r>
            <a:r>
              <a:rPr lang="ru-RU"/>
              <a:t>для разных датасетов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new_ds1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qwen3_08B!$E$12:$N$12</c:f>
              <c:numCache>
                <c:formatCode>General</c:formatCode>
                <c:ptCount val="10"/>
                <c:pt idx="0">
                  <c:v>0.8</c:v>
                </c:pt>
                <c:pt idx="1">
                  <c:v>0.7</c:v>
                </c:pt>
                <c:pt idx="2">
                  <c:v>0.50000000000000011</c:v>
                </c:pt>
                <c:pt idx="3">
                  <c:v>0.42499999999999999</c:v>
                </c:pt>
                <c:pt idx="4">
                  <c:v>0.36000000000000004</c:v>
                </c:pt>
                <c:pt idx="5">
                  <c:v>0.33333333333333331</c:v>
                </c:pt>
                <c:pt idx="6">
                  <c:v>0.3428571428571428</c:v>
                </c:pt>
                <c:pt idx="7">
                  <c:v>0.33750000000000002</c:v>
                </c:pt>
                <c:pt idx="8">
                  <c:v>0.33333333333333337</c:v>
                </c:pt>
                <c:pt idx="9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04-4F4A-B5BB-88B32C6702A6}"/>
            </c:ext>
          </c:extLst>
        </c:ser>
        <c:ser>
          <c:idx val="1"/>
          <c:order val="1"/>
          <c:tx>
            <c:v>new_ds2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qwen3_08B!$E$23:$N$23</c:f>
              <c:numCache>
                <c:formatCode>General</c:formatCode>
                <c:ptCount val="10"/>
                <c:pt idx="0">
                  <c:v>0.7</c:v>
                </c:pt>
                <c:pt idx="1">
                  <c:v>0.7</c:v>
                </c:pt>
                <c:pt idx="2">
                  <c:v>0.63333333333333353</c:v>
                </c:pt>
                <c:pt idx="3">
                  <c:v>0.57499999999999996</c:v>
                </c:pt>
                <c:pt idx="4">
                  <c:v>0.57499999999999996</c:v>
                </c:pt>
                <c:pt idx="5">
                  <c:v>0.51666666666666672</c:v>
                </c:pt>
                <c:pt idx="6">
                  <c:v>0.5</c:v>
                </c:pt>
                <c:pt idx="7">
                  <c:v>0.5</c:v>
                </c:pt>
                <c:pt idx="8">
                  <c:v>0.47777777777777775</c:v>
                </c:pt>
                <c:pt idx="9">
                  <c:v>0.4499999999999999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04-4F4A-B5BB-88B32C6702A6}"/>
            </c:ext>
          </c:extLst>
        </c:ser>
        <c:ser>
          <c:idx val="2"/>
          <c:order val="2"/>
          <c:tx>
            <c:v>new_ds3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qwen3_08B!$E$34:$N$34</c:f>
              <c:numCache>
                <c:formatCode>General</c:formatCode>
                <c:ptCount val="10"/>
                <c:pt idx="0">
                  <c:v>0.9</c:v>
                </c:pt>
                <c:pt idx="1">
                  <c:v>0.8</c:v>
                </c:pt>
                <c:pt idx="2">
                  <c:v>0.76666666666666661</c:v>
                </c:pt>
                <c:pt idx="3">
                  <c:v>0.7</c:v>
                </c:pt>
                <c:pt idx="4">
                  <c:v>0.62</c:v>
                </c:pt>
                <c:pt idx="5">
                  <c:v>0.63333333333333341</c:v>
                </c:pt>
                <c:pt idx="6">
                  <c:v>0.57142857142857151</c:v>
                </c:pt>
                <c:pt idx="7">
                  <c:v>0.55000000000000004</c:v>
                </c:pt>
                <c:pt idx="8">
                  <c:v>0.53333333333333321</c:v>
                </c:pt>
                <c:pt idx="9">
                  <c:v>0.49999999999999989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04-4F4A-B5BB-88B32C6702A6}"/>
            </c:ext>
          </c:extLst>
        </c:ser>
        <c:ser>
          <c:idx val="3"/>
          <c:order val="3"/>
          <c:tx>
            <c:v>new_ds4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qwen3_08B!$E$56:$N$56</c:f>
              <c:numCache>
                <c:formatCode>General</c:formatCode>
                <c:ptCount val="10"/>
                <c:pt idx="0">
                  <c:v>0.23809523809523808</c:v>
                </c:pt>
                <c:pt idx="1">
                  <c:v>0.23809523809523808</c:v>
                </c:pt>
                <c:pt idx="2">
                  <c:v>0.22222222222222224</c:v>
                </c:pt>
                <c:pt idx="3">
                  <c:v>0.21428571428571427</c:v>
                </c:pt>
                <c:pt idx="4">
                  <c:v>0.18095238095238095</c:v>
                </c:pt>
                <c:pt idx="5">
                  <c:v>0.19047619047619052</c:v>
                </c:pt>
                <c:pt idx="6">
                  <c:v>0.18367346938775503</c:v>
                </c:pt>
                <c:pt idx="7">
                  <c:v>0.18452380952380953</c:v>
                </c:pt>
                <c:pt idx="8">
                  <c:v>0.1851851851851852</c:v>
                </c:pt>
                <c:pt idx="9">
                  <c:v>0.1761904761904762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04-4F4A-B5BB-88B32C670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6309343"/>
        <c:axId val="1236311423"/>
      </c:lineChart>
      <c:catAx>
        <c:axId val="1236309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6311423"/>
        <c:crosses val="autoZero"/>
        <c:auto val="1"/>
        <c:lblAlgn val="ctr"/>
        <c:lblOffset val="100"/>
        <c:noMultiLvlLbl val="0"/>
      </c:catAx>
      <c:valAx>
        <c:axId val="123631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63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 </a:t>
            </a:r>
            <a:r>
              <a:rPr lang="en-US"/>
              <a:t>rel_avg e5 </a:t>
            </a:r>
            <a:r>
              <a:rPr lang="ru-RU"/>
              <a:t>и </a:t>
            </a:r>
            <a:r>
              <a:rPr lang="en-US"/>
              <a:t>bm25 </a:t>
            </a:r>
            <a:r>
              <a:rPr lang="ru-RU"/>
              <a:t>для разных датасетов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new_ds1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'e5'!$E$12:$N$12</c:f>
              <c:numCache>
                <c:formatCode>General</c:formatCode>
                <c:ptCount val="10"/>
                <c:pt idx="0">
                  <c:v>1</c:v>
                </c:pt>
                <c:pt idx="1">
                  <c:v>0.7</c:v>
                </c:pt>
                <c:pt idx="2">
                  <c:v>0.48333333333333339</c:v>
                </c:pt>
                <c:pt idx="3">
                  <c:v>0.40833333333333338</c:v>
                </c:pt>
                <c:pt idx="4">
                  <c:v>0.3650000000000001</c:v>
                </c:pt>
                <c:pt idx="5">
                  <c:v>0.36</c:v>
                </c:pt>
                <c:pt idx="6">
                  <c:v>0.338095238095238</c:v>
                </c:pt>
                <c:pt idx="7">
                  <c:v>0.30714285714285711</c:v>
                </c:pt>
                <c:pt idx="8">
                  <c:v>0.30555555555555558</c:v>
                </c:pt>
                <c:pt idx="9">
                  <c:v>0.2844444444444445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9-47CF-BEEB-06F168E92288}"/>
            </c:ext>
          </c:extLst>
        </c:ser>
        <c:ser>
          <c:idx val="1"/>
          <c:order val="1"/>
          <c:tx>
            <c:v>new_ds2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'e5'!$E$23:$N$23</c:f>
              <c:numCache>
                <c:formatCode>General</c:formatCode>
                <c:ptCount val="10"/>
                <c:pt idx="0">
                  <c:v>0.5</c:v>
                </c:pt>
                <c:pt idx="1">
                  <c:v>0.5</c:v>
                </c:pt>
                <c:pt idx="2">
                  <c:v>0.50000000000000011</c:v>
                </c:pt>
                <c:pt idx="3">
                  <c:v>0.46666666666666667</c:v>
                </c:pt>
                <c:pt idx="4">
                  <c:v>0.4366666666666667</c:v>
                </c:pt>
                <c:pt idx="5">
                  <c:v>0.37333333333333329</c:v>
                </c:pt>
                <c:pt idx="6">
                  <c:v>0.3328571428571428</c:v>
                </c:pt>
                <c:pt idx="7">
                  <c:v>0.30178571428571427</c:v>
                </c:pt>
                <c:pt idx="8">
                  <c:v>0.27480158730158727</c:v>
                </c:pt>
                <c:pt idx="9">
                  <c:v>0.26174603174603173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39-47CF-BEEB-06F168E92288}"/>
            </c:ext>
          </c:extLst>
        </c:ser>
        <c:ser>
          <c:idx val="2"/>
          <c:order val="2"/>
          <c:tx>
            <c:v>new_ds3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'e5'!$E$34:$N$34</c:f>
              <c:numCache>
                <c:formatCode>General</c:formatCode>
                <c:ptCount val="10"/>
                <c:pt idx="0">
                  <c:v>0.4</c:v>
                </c:pt>
                <c:pt idx="1">
                  <c:v>0.45</c:v>
                </c:pt>
                <c:pt idx="2">
                  <c:v>0.39999999999999997</c:v>
                </c:pt>
                <c:pt idx="3">
                  <c:v>0.42499999999999999</c:v>
                </c:pt>
                <c:pt idx="4">
                  <c:v>0.43000000000000005</c:v>
                </c:pt>
                <c:pt idx="5">
                  <c:v>0.4333333333333334</c:v>
                </c:pt>
                <c:pt idx="6">
                  <c:v>0.41666666666666669</c:v>
                </c:pt>
                <c:pt idx="7">
                  <c:v>0.40714285714285714</c:v>
                </c:pt>
                <c:pt idx="8">
                  <c:v>0.39761904761904759</c:v>
                </c:pt>
                <c:pt idx="9">
                  <c:v>0.36551587301587302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39-47CF-BEEB-06F168E92288}"/>
            </c:ext>
          </c:extLst>
        </c:ser>
        <c:ser>
          <c:idx val="3"/>
          <c:order val="3"/>
          <c:tx>
            <c:v>new_ds4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'e5'!$E$56:$N$56</c:f>
              <c:numCache>
                <c:formatCode>General</c:formatCode>
                <c:ptCount val="10"/>
                <c:pt idx="0">
                  <c:v>0.14285714285714285</c:v>
                </c:pt>
                <c:pt idx="1">
                  <c:v>0.19047619047619047</c:v>
                </c:pt>
                <c:pt idx="2">
                  <c:v>0.19047619047619047</c:v>
                </c:pt>
                <c:pt idx="3">
                  <c:v>0.1388888888888889</c:v>
                </c:pt>
                <c:pt idx="4">
                  <c:v>0.13015873015873017</c:v>
                </c:pt>
                <c:pt idx="5">
                  <c:v>0.13333333333333333</c:v>
                </c:pt>
                <c:pt idx="6">
                  <c:v>0.13707482993197276</c:v>
                </c:pt>
                <c:pt idx="7">
                  <c:v>0.13140589569160996</c:v>
                </c:pt>
                <c:pt idx="8">
                  <c:v>0.12188208616780044</c:v>
                </c:pt>
                <c:pt idx="9">
                  <c:v>0.11434240362811791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539-47CF-BEEB-06F168E92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1233567"/>
        <c:axId val="1311236479"/>
      </c:lineChart>
      <c:catAx>
        <c:axId val="1311233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236479"/>
        <c:crosses val="autoZero"/>
        <c:auto val="1"/>
        <c:lblAlgn val="ctr"/>
        <c:lblOffset val="100"/>
        <c:noMultiLvlLbl val="0"/>
      </c:catAx>
      <c:valAx>
        <c:axId val="1311236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233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 </a:t>
            </a:r>
            <a:r>
              <a:rPr lang="en-US"/>
              <a:t>rel_ind</a:t>
            </a:r>
            <a:r>
              <a:rPr lang="en-US" baseline="0"/>
              <a:t> qwen3-Embedding-0.6B</a:t>
            </a:r>
            <a:r>
              <a:rPr lang="ru-RU" baseline="0"/>
              <a:t> и</a:t>
            </a:r>
            <a:r>
              <a:rPr lang="en-US" baseline="0"/>
              <a:t> bm25</a:t>
            </a:r>
            <a:r>
              <a:rPr lang="ru-RU" baseline="0"/>
              <a:t> для разных датасетов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new_ds1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alt_qwen3_08B!$E$12:$N$12</c:f>
              <c:numCache>
                <c:formatCode>General</c:formatCode>
                <c:ptCount val="10"/>
                <c:pt idx="0">
                  <c:v>0.8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05-4B78-82CD-75710984B90D}"/>
            </c:ext>
          </c:extLst>
        </c:ser>
        <c:ser>
          <c:idx val="1"/>
          <c:order val="1"/>
          <c:tx>
            <c:v>new_ds2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alt_qwen3_08B!$E$23:$N$23</c:f>
              <c:numCache>
                <c:formatCode>General</c:formatCode>
                <c:ptCount val="10"/>
                <c:pt idx="0">
                  <c:v>0.7</c:v>
                </c:pt>
                <c:pt idx="1">
                  <c:v>0.8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05-4B78-82CD-75710984B90D}"/>
            </c:ext>
          </c:extLst>
        </c:ser>
        <c:ser>
          <c:idx val="2"/>
          <c:order val="2"/>
          <c:tx>
            <c:v>new_ds3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alt_qwen3_08B!$E$34:$N$34</c:f>
              <c:numCache>
                <c:formatCode>General</c:formatCode>
                <c:ptCount val="10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05-4B78-82CD-75710984B90D}"/>
            </c:ext>
          </c:extLst>
        </c:ser>
        <c:ser>
          <c:idx val="3"/>
          <c:order val="3"/>
          <c:tx>
            <c:v>new_ds4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alt_qwen3_08B!$E$56:$N$56</c:f>
              <c:numCache>
                <c:formatCode>General</c:formatCode>
                <c:ptCount val="10"/>
                <c:pt idx="0">
                  <c:v>0.23809523809523808</c:v>
                </c:pt>
                <c:pt idx="1">
                  <c:v>0.38095238095238093</c:v>
                </c:pt>
                <c:pt idx="2">
                  <c:v>0.47619047619047616</c:v>
                </c:pt>
                <c:pt idx="3">
                  <c:v>0.52380952380952384</c:v>
                </c:pt>
                <c:pt idx="4">
                  <c:v>0.5714285714285714</c:v>
                </c:pt>
                <c:pt idx="5">
                  <c:v>0.61904761904761907</c:v>
                </c:pt>
                <c:pt idx="6">
                  <c:v>0.66666666666666663</c:v>
                </c:pt>
                <c:pt idx="7">
                  <c:v>0.66666666666666663</c:v>
                </c:pt>
                <c:pt idx="8">
                  <c:v>0.66666666666666663</c:v>
                </c:pt>
                <c:pt idx="9">
                  <c:v>0.66666666666666663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05-4B78-82CD-75710984B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936511"/>
        <c:axId val="1321733471"/>
      </c:lineChart>
      <c:catAx>
        <c:axId val="131793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1733471"/>
        <c:crosses val="autoZero"/>
        <c:auto val="1"/>
        <c:lblAlgn val="ctr"/>
        <c:lblOffset val="100"/>
        <c:noMultiLvlLbl val="0"/>
      </c:catAx>
      <c:valAx>
        <c:axId val="1321733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79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Значения</a:t>
            </a:r>
            <a:r>
              <a:rPr lang="en-US"/>
              <a:t> rel_ind</a:t>
            </a:r>
            <a:r>
              <a:rPr lang="ru-RU"/>
              <a:t> ансабля</a:t>
            </a:r>
            <a:r>
              <a:rPr lang="ru-RU" baseline="0"/>
              <a:t> </a:t>
            </a:r>
            <a:r>
              <a:rPr lang="en-US" baseline="0"/>
              <a:t>e5 </a:t>
            </a:r>
            <a:r>
              <a:rPr lang="ru-RU" baseline="0"/>
              <a:t>и</a:t>
            </a:r>
            <a:r>
              <a:rPr lang="en-US" baseline="0"/>
              <a:t> bm25</a:t>
            </a:r>
            <a:r>
              <a:rPr lang="ru-RU" baseline="0"/>
              <a:t> для разных типов датасетов</a:t>
            </a:r>
            <a:r>
              <a:rPr lang="en-US" baseline="0"/>
              <a:t> 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new_ds1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alt_e5!$E$12:$N$12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C2-4967-8DE5-E24F1833F48D}"/>
            </c:ext>
          </c:extLst>
        </c:ser>
        <c:ser>
          <c:idx val="1"/>
          <c:order val="1"/>
          <c:tx>
            <c:v>new_ds2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alt_e5!$E$23:$N$23</c:f>
              <c:numCache>
                <c:formatCode>General</c:formatCode>
                <c:ptCount val="10"/>
                <c:pt idx="0">
                  <c:v>0.5</c:v>
                </c:pt>
                <c:pt idx="1">
                  <c:v>0.7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  <c:pt idx="5">
                  <c:v>0.8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C2-4967-8DE5-E24F1833F48D}"/>
            </c:ext>
          </c:extLst>
        </c:ser>
        <c:ser>
          <c:idx val="2"/>
          <c:order val="2"/>
          <c:tx>
            <c:v>new_ds3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alt_e5!$E$34:$N$34</c:f>
              <c:numCache>
                <c:formatCode>General</c:formatCode>
                <c:ptCount val="10"/>
                <c:pt idx="0">
                  <c:v>0.4</c:v>
                </c:pt>
                <c:pt idx="1">
                  <c:v>0.5</c:v>
                </c:pt>
                <c:pt idx="2">
                  <c:v>0.5</c:v>
                </c:pt>
                <c:pt idx="3">
                  <c:v>0.6</c:v>
                </c:pt>
                <c:pt idx="4">
                  <c:v>0.7</c:v>
                </c:pt>
                <c:pt idx="5">
                  <c:v>0.7</c:v>
                </c:pt>
                <c:pt idx="6">
                  <c:v>0.8</c:v>
                </c:pt>
                <c:pt idx="7">
                  <c:v>0.8</c:v>
                </c:pt>
                <c:pt idx="8">
                  <c:v>0.8</c:v>
                </c:pt>
                <c:pt idx="9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C2-4967-8DE5-E24F1833F48D}"/>
            </c:ext>
          </c:extLst>
        </c:ser>
        <c:ser>
          <c:idx val="3"/>
          <c:order val="3"/>
          <c:tx>
            <c:v>new_ds4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alt_e5!$E$56:$N$56</c:f>
              <c:numCache>
                <c:formatCode>General</c:formatCode>
                <c:ptCount val="10"/>
                <c:pt idx="0">
                  <c:v>0.14285714285714285</c:v>
                </c:pt>
                <c:pt idx="1">
                  <c:v>0.23809523809523808</c:v>
                </c:pt>
                <c:pt idx="2">
                  <c:v>0.33333333333333331</c:v>
                </c:pt>
                <c:pt idx="3">
                  <c:v>0.33333333333333331</c:v>
                </c:pt>
                <c:pt idx="4">
                  <c:v>0.38095238095238093</c:v>
                </c:pt>
                <c:pt idx="5">
                  <c:v>0.47619047619047616</c:v>
                </c:pt>
                <c:pt idx="6">
                  <c:v>0.5714285714285714</c:v>
                </c:pt>
                <c:pt idx="7">
                  <c:v>0.61904761904761907</c:v>
                </c:pt>
                <c:pt idx="8">
                  <c:v>0.61904761904761907</c:v>
                </c:pt>
                <c:pt idx="9">
                  <c:v>0.61904761904761907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C2-4967-8DE5-E24F1833F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1896431"/>
        <c:axId val="1321903503"/>
      </c:lineChart>
      <c:catAx>
        <c:axId val="132189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1903503"/>
        <c:crosses val="autoZero"/>
        <c:auto val="1"/>
        <c:lblAlgn val="ctr"/>
        <c:lblOffset val="100"/>
        <c:noMultiLvlLbl val="0"/>
      </c:catAx>
      <c:valAx>
        <c:axId val="132190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2189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точность на </a:t>
            </a:r>
            <a:r>
              <a:rPr lang="en-US"/>
              <a:t>N-</a:t>
            </a:r>
            <a:r>
              <a:rPr lang="ru-RU"/>
              <a:t>документов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res!$A$1</c:f>
              <c:strCache>
                <c:ptCount val="1"/>
                <c:pt idx="0">
                  <c:v>e5+bm25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res!$B$2:$K$2</c:f>
              <c:numCache>
                <c:formatCode>General</c:formatCode>
                <c:ptCount val="10"/>
                <c:pt idx="0">
                  <c:v>0.51071428571428568</c:v>
                </c:pt>
                <c:pt idx="1">
                  <c:v>0.46011904761904759</c:v>
                </c:pt>
                <c:pt idx="2">
                  <c:v>0.393452380952381</c:v>
                </c:pt>
                <c:pt idx="3">
                  <c:v>0.35972222222222222</c:v>
                </c:pt>
                <c:pt idx="4">
                  <c:v>0.34045634920634926</c:v>
                </c:pt>
                <c:pt idx="5">
                  <c:v>0.32500000000000001</c:v>
                </c:pt>
                <c:pt idx="6">
                  <c:v>0.30617346938775508</c:v>
                </c:pt>
                <c:pt idx="7">
                  <c:v>0.28686933106575963</c:v>
                </c:pt>
                <c:pt idx="8">
                  <c:v>0.27496456916099771</c:v>
                </c:pt>
                <c:pt idx="9">
                  <c:v>0.25651218820861676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1-4464-A8E0-54D550C1379F}"/>
            </c:ext>
          </c:extLst>
        </c:ser>
        <c:ser>
          <c:idx val="1"/>
          <c:order val="1"/>
          <c:tx>
            <c:strRef>
              <c:f>res!$A$4</c:f>
              <c:strCache>
                <c:ptCount val="1"/>
                <c:pt idx="0">
                  <c:v>qwen3_08B+bm25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res!$B$5:$K$5</c:f>
              <c:numCache>
                <c:formatCode>General</c:formatCode>
                <c:ptCount val="10"/>
                <c:pt idx="0">
                  <c:v>0.65952380952380951</c:v>
                </c:pt>
                <c:pt idx="1">
                  <c:v>0.60952380952380958</c:v>
                </c:pt>
                <c:pt idx="2">
                  <c:v>0.53055555555555556</c:v>
                </c:pt>
                <c:pt idx="3">
                  <c:v>0.47857142857142859</c:v>
                </c:pt>
                <c:pt idx="4">
                  <c:v>0.43398809523809528</c:v>
                </c:pt>
                <c:pt idx="5">
                  <c:v>0.41845238095238096</c:v>
                </c:pt>
                <c:pt idx="6">
                  <c:v>0.39948979591836731</c:v>
                </c:pt>
                <c:pt idx="7">
                  <c:v>0.39300595238095237</c:v>
                </c:pt>
                <c:pt idx="8">
                  <c:v>0.38240740740740742</c:v>
                </c:pt>
                <c:pt idx="9">
                  <c:v>0.36154761904761901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F1-4464-A8E0-54D550C13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8862495"/>
        <c:axId val="1378861663"/>
      </c:lineChart>
      <c:catAx>
        <c:axId val="13788624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8861663"/>
        <c:crosses val="autoZero"/>
        <c:auto val="1"/>
        <c:lblAlgn val="ctr"/>
        <c:lblOffset val="100"/>
        <c:noMultiLvlLbl val="0"/>
      </c:catAx>
      <c:valAx>
        <c:axId val="137886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7886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индикатор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res!$A$1</c:f>
              <c:strCache>
                <c:ptCount val="1"/>
                <c:pt idx="0">
                  <c:v>e5+bm25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res!$B$3:$K$3</c:f>
              <c:numCache>
                <c:formatCode>General</c:formatCode>
                <c:ptCount val="10"/>
                <c:pt idx="0">
                  <c:v>0.51071428571428568</c:v>
                </c:pt>
                <c:pt idx="1">
                  <c:v>0.60952380952380958</c:v>
                </c:pt>
                <c:pt idx="2">
                  <c:v>0.65833333333333333</c:v>
                </c:pt>
                <c:pt idx="3">
                  <c:v>0.68333333333333335</c:v>
                </c:pt>
                <c:pt idx="4">
                  <c:v>0.72023809523809523</c:v>
                </c:pt>
                <c:pt idx="5">
                  <c:v>0.74404761904761907</c:v>
                </c:pt>
                <c:pt idx="6">
                  <c:v>0.79285714285714293</c:v>
                </c:pt>
                <c:pt idx="7">
                  <c:v>0.80476190476190479</c:v>
                </c:pt>
                <c:pt idx="8">
                  <c:v>0.80476190476190479</c:v>
                </c:pt>
                <c:pt idx="9">
                  <c:v>0.80476190476190479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34-44D8-989B-364E5B131C5A}"/>
            </c:ext>
          </c:extLst>
        </c:ser>
        <c:ser>
          <c:idx val="1"/>
          <c:order val="1"/>
          <c:tx>
            <c:strRef>
              <c:f>res!$A$4</c:f>
              <c:strCache>
                <c:ptCount val="1"/>
                <c:pt idx="0">
                  <c:v>qwen3_08B+bm25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res!$B$6:$K$6</c:f>
              <c:numCache>
                <c:formatCode>General</c:formatCode>
                <c:ptCount val="10"/>
                <c:pt idx="0">
                  <c:v>0.65952380952380951</c:v>
                </c:pt>
                <c:pt idx="1">
                  <c:v>0.74523809523809514</c:v>
                </c:pt>
                <c:pt idx="2">
                  <c:v>0.76904761904761909</c:v>
                </c:pt>
                <c:pt idx="3">
                  <c:v>0.78095238095238095</c:v>
                </c:pt>
                <c:pt idx="4">
                  <c:v>0.79285714285714282</c:v>
                </c:pt>
                <c:pt idx="5">
                  <c:v>0.80476190476190468</c:v>
                </c:pt>
                <c:pt idx="6">
                  <c:v>0.84166666666666667</c:v>
                </c:pt>
                <c:pt idx="7">
                  <c:v>0.89166666666666661</c:v>
                </c:pt>
                <c:pt idx="8">
                  <c:v>0.89166666666666661</c:v>
                </c:pt>
                <c:pt idx="9">
                  <c:v>0.89166666666666661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34-44D8-989B-364E5B131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8166079"/>
        <c:axId val="1548179807"/>
      </c:lineChart>
      <c:catAx>
        <c:axId val="15481660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179807"/>
        <c:crosses val="autoZero"/>
        <c:auto val="1"/>
        <c:lblAlgn val="ctr"/>
        <c:lblOffset val="100"/>
        <c:noMultiLvlLbl val="0"/>
      </c:catAx>
      <c:valAx>
        <c:axId val="154817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8166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595311</xdr:colOff>
      <xdr:row>1</xdr:row>
      <xdr:rowOff>28575</xdr:rowOff>
    </xdr:from>
    <xdr:to>
      <xdr:col>23</xdr:col>
      <xdr:colOff>171450</xdr:colOff>
      <xdr:row>17</xdr:row>
      <xdr:rowOff>66675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D12E36-C4AB-4474-B07E-3B3FAAC2F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582705</xdr:colOff>
      <xdr:row>0</xdr:row>
      <xdr:rowOff>141194</xdr:rowOff>
    </xdr:from>
    <xdr:to>
      <xdr:col>24</xdr:col>
      <xdr:colOff>493057</xdr:colOff>
      <xdr:row>18</xdr:row>
      <xdr:rowOff>33618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259A863-349A-49B9-AB6F-485B46FF1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4762</xdr:colOff>
      <xdr:row>1</xdr:row>
      <xdr:rowOff>0</xdr:rowOff>
    </xdr:from>
    <xdr:to>
      <xdr:col>24</xdr:col>
      <xdr:colOff>266700</xdr:colOff>
      <xdr:row>16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6E55F73-7923-422F-904B-ACBAFAA9C6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4761</xdr:colOff>
      <xdr:row>0</xdr:row>
      <xdr:rowOff>180974</xdr:rowOff>
    </xdr:from>
    <xdr:to>
      <xdr:col>24</xdr:col>
      <xdr:colOff>447674</xdr:colOff>
      <xdr:row>17</xdr:row>
      <xdr:rowOff>76199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2C52BEE-16AB-4E4B-BC39-2DA78D31D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</xdr:colOff>
      <xdr:row>0</xdr:row>
      <xdr:rowOff>47625</xdr:rowOff>
    </xdr:from>
    <xdr:to>
      <xdr:col>21</xdr:col>
      <xdr:colOff>390525</xdr:colOff>
      <xdr:row>14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AAFA08-A698-4A84-9B3E-F818A6B5C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4761</xdr:colOff>
      <xdr:row>15</xdr:row>
      <xdr:rowOff>142875</xdr:rowOff>
    </xdr:from>
    <xdr:to>
      <xdr:col>21</xdr:col>
      <xdr:colOff>180975</xdr:colOff>
      <xdr:row>30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D19C5D4-45E1-4235-A37D-59022D37A9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D2EE-A330-4EC7-A39F-0C0EE9DCCA5E}">
  <dimension ref="A1:N58"/>
  <sheetViews>
    <sheetView tabSelected="1" workbookViewId="0">
      <selection activeCell="E12" sqref="E12:N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180</v>
      </c>
      <c r="E2">
        <v>1</v>
      </c>
      <c r="F2">
        <v>1</v>
      </c>
      <c r="G2">
        <v>0.66666666666666663</v>
      </c>
      <c r="H2">
        <v>0.75</v>
      </c>
      <c r="I2">
        <v>0.6</v>
      </c>
      <c r="J2">
        <v>0.66666666666666663</v>
      </c>
      <c r="K2">
        <v>0.7142857142857143</v>
      </c>
      <c r="L2">
        <v>0.75</v>
      </c>
      <c r="M2">
        <v>0.77777777777777779</v>
      </c>
      <c r="N2">
        <v>0.8</v>
      </c>
    </row>
    <row r="3" spans="1:14" x14ac:dyDescent="0.25">
      <c r="A3" t="s">
        <v>18</v>
      </c>
      <c r="B3" t="s">
        <v>19</v>
      </c>
      <c r="C3" t="s">
        <v>16</v>
      </c>
      <c r="D3" t="s">
        <v>181</v>
      </c>
      <c r="E3">
        <v>1</v>
      </c>
      <c r="F3">
        <v>1</v>
      </c>
      <c r="G3">
        <v>0.66666666666666663</v>
      </c>
      <c r="H3">
        <v>0.75</v>
      </c>
      <c r="I3">
        <v>0.6</v>
      </c>
      <c r="J3">
        <v>0.66666666666666663</v>
      </c>
      <c r="K3">
        <v>0.7142857142857143</v>
      </c>
      <c r="L3">
        <v>0.75</v>
      </c>
      <c r="M3">
        <v>0.77777777777777779</v>
      </c>
      <c r="N3">
        <v>0.8</v>
      </c>
    </row>
    <row r="4" spans="1:14" x14ac:dyDescent="0.25">
      <c r="A4" t="s">
        <v>21</v>
      </c>
      <c r="B4" t="s">
        <v>22</v>
      </c>
      <c r="C4" t="s">
        <v>23</v>
      </c>
      <c r="D4" t="s">
        <v>182</v>
      </c>
      <c r="E4">
        <v>0</v>
      </c>
      <c r="F4">
        <v>0.5</v>
      </c>
      <c r="G4">
        <v>0.66666666666666663</v>
      </c>
      <c r="H4">
        <v>0.75</v>
      </c>
      <c r="I4">
        <v>0.8</v>
      </c>
      <c r="J4">
        <v>0.66666666666666663</v>
      </c>
      <c r="K4">
        <v>0.5714285714285714</v>
      </c>
      <c r="L4">
        <v>0.5</v>
      </c>
      <c r="M4">
        <v>0.55555555555555558</v>
      </c>
      <c r="N4">
        <v>0.5</v>
      </c>
    </row>
    <row r="5" spans="1:14" x14ac:dyDescent="0.25">
      <c r="A5" t="s">
        <v>25</v>
      </c>
      <c r="B5" t="s">
        <v>26</v>
      </c>
      <c r="C5" t="s">
        <v>27</v>
      </c>
      <c r="D5" t="s">
        <v>183</v>
      </c>
      <c r="E5">
        <v>1</v>
      </c>
      <c r="F5">
        <v>0.5</v>
      </c>
      <c r="G5">
        <v>0.33333333333333331</v>
      </c>
      <c r="H5">
        <v>0.25</v>
      </c>
      <c r="I5">
        <v>0.2</v>
      </c>
      <c r="J5">
        <v>0.16666666666666671</v>
      </c>
      <c r="K5">
        <v>0.14285714285714279</v>
      </c>
      <c r="L5">
        <v>0.125</v>
      </c>
      <c r="M5">
        <v>0.1111111111111111</v>
      </c>
      <c r="N5">
        <v>0.1</v>
      </c>
    </row>
    <row r="6" spans="1:14" x14ac:dyDescent="0.25">
      <c r="A6" t="s">
        <v>29</v>
      </c>
      <c r="B6" t="s">
        <v>30</v>
      </c>
      <c r="C6" t="s">
        <v>31</v>
      </c>
      <c r="D6" t="s">
        <v>184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0.14285714285714279</v>
      </c>
      <c r="L6">
        <v>0.125</v>
      </c>
      <c r="M6">
        <v>0.1111111111111111</v>
      </c>
      <c r="N6">
        <v>0.1</v>
      </c>
    </row>
    <row r="7" spans="1:14" x14ac:dyDescent="0.25">
      <c r="A7" t="s">
        <v>33</v>
      </c>
      <c r="B7" t="s">
        <v>34</v>
      </c>
      <c r="C7" t="s">
        <v>35</v>
      </c>
      <c r="D7" t="s">
        <v>185</v>
      </c>
      <c r="E7">
        <v>1</v>
      </c>
      <c r="F7">
        <v>1</v>
      </c>
      <c r="G7">
        <v>0.33333333333333331</v>
      </c>
      <c r="H7">
        <v>0.25</v>
      </c>
      <c r="I7">
        <v>0.2</v>
      </c>
      <c r="J7">
        <v>0.16666666666666671</v>
      </c>
      <c r="K7">
        <v>0.2857142857142857</v>
      </c>
      <c r="L7">
        <v>0.25</v>
      </c>
      <c r="M7">
        <v>0.1111111111111111</v>
      </c>
      <c r="N7">
        <v>0.1</v>
      </c>
    </row>
    <row r="8" spans="1:14" x14ac:dyDescent="0.25">
      <c r="A8" t="s">
        <v>37</v>
      </c>
      <c r="B8" t="s">
        <v>38</v>
      </c>
      <c r="C8" t="s">
        <v>39</v>
      </c>
      <c r="D8" t="s">
        <v>186</v>
      </c>
      <c r="E8">
        <v>1</v>
      </c>
      <c r="F8">
        <v>0.5</v>
      </c>
      <c r="G8">
        <v>0.33333333333333331</v>
      </c>
      <c r="H8">
        <v>0.25</v>
      </c>
      <c r="I8">
        <v>0.2</v>
      </c>
      <c r="J8">
        <v>0.16666666666666671</v>
      </c>
      <c r="K8">
        <v>0.14285714285714279</v>
      </c>
      <c r="L8">
        <v>0.125</v>
      </c>
      <c r="M8">
        <v>0.1111111111111111</v>
      </c>
      <c r="N8">
        <v>0.1</v>
      </c>
    </row>
    <row r="9" spans="1:14" x14ac:dyDescent="0.25">
      <c r="A9" t="s">
        <v>41</v>
      </c>
      <c r="B9" t="s">
        <v>42</v>
      </c>
      <c r="C9" t="s">
        <v>39</v>
      </c>
      <c r="D9" t="s">
        <v>187</v>
      </c>
      <c r="E9">
        <v>1</v>
      </c>
      <c r="F9">
        <v>0.5</v>
      </c>
      <c r="G9">
        <v>0.33333333333333331</v>
      </c>
      <c r="H9">
        <v>0.25</v>
      </c>
      <c r="I9">
        <v>0.2</v>
      </c>
      <c r="J9">
        <v>0.16666666666666671</v>
      </c>
      <c r="K9">
        <v>0.14285714285714279</v>
      </c>
      <c r="L9">
        <v>0.125</v>
      </c>
      <c r="M9">
        <v>0.1111111111111111</v>
      </c>
      <c r="N9">
        <v>0.1</v>
      </c>
    </row>
    <row r="10" spans="1:14" x14ac:dyDescent="0.25">
      <c r="A10" t="s">
        <v>44</v>
      </c>
      <c r="B10" t="s">
        <v>45</v>
      </c>
      <c r="C10" t="s">
        <v>46</v>
      </c>
      <c r="D10" t="s">
        <v>188</v>
      </c>
      <c r="E10">
        <v>1</v>
      </c>
      <c r="F10">
        <v>1</v>
      </c>
      <c r="G10">
        <v>0.66666666666666663</v>
      </c>
      <c r="H10">
        <v>0.5</v>
      </c>
      <c r="I10">
        <v>0.4</v>
      </c>
      <c r="J10">
        <v>0.33333333333333331</v>
      </c>
      <c r="K10">
        <v>0.2857142857142857</v>
      </c>
      <c r="L10">
        <v>0.25</v>
      </c>
      <c r="M10">
        <v>0.33333333333333331</v>
      </c>
      <c r="N10">
        <v>0.3</v>
      </c>
    </row>
    <row r="11" spans="1:14" x14ac:dyDescent="0.25">
      <c r="A11" t="s">
        <v>48</v>
      </c>
      <c r="B11" t="s">
        <v>49</v>
      </c>
      <c r="C11" t="s">
        <v>50</v>
      </c>
      <c r="D11" t="s">
        <v>189</v>
      </c>
      <c r="E11">
        <v>1</v>
      </c>
      <c r="F11">
        <v>1</v>
      </c>
      <c r="G11">
        <v>1</v>
      </c>
      <c r="H11">
        <v>0.5</v>
      </c>
      <c r="I11">
        <v>0.4</v>
      </c>
      <c r="J11">
        <v>0.33333333333333331</v>
      </c>
      <c r="K11">
        <v>0.2857142857142857</v>
      </c>
      <c r="L11">
        <v>0.375</v>
      </c>
      <c r="M11">
        <v>0.33333333333333331</v>
      </c>
      <c r="N11">
        <v>0.3</v>
      </c>
    </row>
    <row r="12" spans="1:14" x14ac:dyDescent="0.25">
      <c r="E12">
        <f>AVERAGE(E2:E11)</f>
        <v>0.8</v>
      </c>
      <c r="F12">
        <f t="shared" ref="F12:N12" si="0">AVERAGE(F2:F11)</f>
        <v>0.7</v>
      </c>
      <c r="G12">
        <f t="shared" si="0"/>
        <v>0.50000000000000011</v>
      </c>
      <c r="H12">
        <f t="shared" si="0"/>
        <v>0.42499999999999999</v>
      </c>
      <c r="I12">
        <f t="shared" si="0"/>
        <v>0.36000000000000004</v>
      </c>
      <c r="J12">
        <f t="shared" si="0"/>
        <v>0.33333333333333331</v>
      </c>
      <c r="K12">
        <f t="shared" si="0"/>
        <v>0.3428571428571428</v>
      </c>
      <c r="L12">
        <f t="shared" si="0"/>
        <v>0.33750000000000002</v>
      </c>
      <c r="M12">
        <f t="shared" si="0"/>
        <v>0.33333333333333337</v>
      </c>
      <c r="N12">
        <f t="shared" si="0"/>
        <v>0.32</v>
      </c>
    </row>
    <row r="13" spans="1:14" x14ac:dyDescent="0.25">
      <c r="A13" t="s">
        <v>14</v>
      </c>
      <c r="B13" t="s">
        <v>52</v>
      </c>
      <c r="C13" t="s">
        <v>53</v>
      </c>
      <c r="D13" t="s">
        <v>190</v>
      </c>
      <c r="E13">
        <v>1</v>
      </c>
      <c r="F13">
        <v>1</v>
      </c>
      <c r="G13">
        <v>1</v>
      </c>
      <c r="H13">
        <v>1</v>
      </c>
      <c r="I13">
        <v>1</v>
      </c>
      <c r="J13">
        <v>0.66666666666666663</v>
      </c>
      <c r="K13">
        <v>0.5714285714285714</v>
      </c>
      <c r="L13">
        <v>0.625</v>
      </c>
      <c r="M13">
        <v>0.55555555555555558</v>
      </c>
      <c r="N13">
        <v>0.5</v>
      </c>
    </row>
    <row r="14" spans="1:14" x14ac:dyDescent="0.25">
      <c r="A14" t="s">
        <v>18</v>
      </c>
      <c r="B14" t="s">
        <v>55</v>
      </c>
      <c r="C14" t="s">
        <v>56</v>
      </c>
      <c r="D14" t="s">
        <v>191</v>
      </c>
      <c r="E14">
        <v>0</v>
      </c>
      <c r="F14">
        <v>1</v>
      </c>
      <c r="G14">
        <v>1</v>
      </c>
      <c r="H14">
        <v>0.75</v>
      </c>
      <c r="I14">
        <v>0.6</v>
      </c>
      <c r="J14">
        <v>0.66666666666666663</v>
      </c>
      <c r="K14">
        <v>0.7142857142857143</v>
      </c>
      <c r="L14">
        <v>0.5</v>
      </c>
      <c r="M14">
        <v>0.44444444444444442</v>
      </c>
      <c r="N14">
        <v>0.5</v>
      </c>
    </row>
    <row r="15" spans="1:14" x14ac:dyDescent="0.25">
      <c r="A15" t="s">
        <v>21</v>
      </c>
      <c r="B15" t="s">
        <v>58</v>
      </c>
      <c r="C15" t="s">
        <v>59</v>
      </c>
      <c r="D15" t="s">
        <v>192</v>
      </c>
      <c r="E15">
        <v>1</v>
      </c>
      <c r="F15">
        <v>1</v>
      </c>
      <c r="G15">
        <v>1</v>
      </c>
      <c r="H15">
        <v>0.75</v>
      </c>
      <c r="I15">
        <v>0.8</v>
      </c>
      <c r="J15">
        <v>0.83333333333333337</v>
      </c>
      <c r="K15">
        <v>0.8571428571428571</v>
      </c>
      <c r="L15">
        <v>0.875</v>
      </c>
      <c r="M15">
        <v>0.88888888888888884</v>
      </c>
      <c r="N15">
        <v>0.9</v>
      </c>
    </row>
    <row r="16" spans="1:14" x14ac:dyDescent="0.25">
      <c r="A16" t="s">
        <v>25</v>
      </c>
      <c r="B16" t="s">
        <v>61</v>
      </c>
      <c r="C16" t="s">
        <v>62</v>
      </c>
      <c r="D16" t="s">
        <v>193</v>
      </c>
      <c r="E16">
        <v>1</v>
      </c>
      <c r="F16">
        <v>0.5</v>
      </c>
      <c r="G16">
        <v>0.33333333333333331</v>
      </c>
      <c r="H16">
        <v>0.5</v>
      </c>
      <c r="I16">
        <v>0.4</v>
      </c>
      <c r="J16">
        <v>0.33333333333333331</v>
      </c>
      <c r="K16">
        <v>0.2857142857142857</v>
      </c>
      <c r="L16">
        <v>0.25</v>
      </c>
      <c r="M16">
        <v>0.22222222222222221</v>
      </c>
      <c r="N16">
        <v>0.2</v>
      </c>
    </row>
    <row r="17" spans="1:14" x14ac:dyDescent="0.25">
      <c r="A17" t="s">
        <v>29</v>
      </c>
      <c r="B17" t="s">
        <v>64</v>
      </c>
      <c r="C17" t="s">
        <v>65</v>
      </c>
      <c r="D17" t="s">
        <v>194</v>
      </c>
      <c r="E17">
        <v>1</v>
      </c>
      <c r="F17">
        <v>1</v>
      </c>
      <c r="G17">
        <v>1</v>
      </c>
      <c r="H17">
        <v>1</v>
      </c>
      <c r="I17">
        <v>1</v>
      </c>
      <c r="J17">
        <v>0.83333333333333337</v>
      </c>
      <c r="K17">
        <v>0.8571428571428571</v>
      </c>
      <c r="L17">
        <v>0.875</v>
      </c>
      <c r="M17">
        <v>0.77777777777777779</v>
      </c>
      <c r="N17">
        <v>0.7</v>
      </c>
    </row>
    <row r="18" spans="1:14" x14ac:dyDescent="0.25">
      <c r="A18" t="s">
        <v>33</v>
      </c>
      <c r="B18" t="s">
        <v>67</v>
      </c>
      <c r="C18" t="s">
        <v>65</v>
      </c>
      <c r="D18" t="s">
        <v>195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0.125</v>
      </c>
      <c r="M18">
        <v>0.22222222222222221</v>
      </c>
      <c r="N18">
        <v>0.2</v>
      </c>
    </row>
    <row r="19" spans="1:14" x14ac:dyDescent="0.25">
      <c r="A19" t="s">
        <v>37</v>
      </c>
      <c r="B19" t="s">
        <v>69</v>
      </c>
      <c r="C19" t="s">
        <v>65</v>
      </c>
      <c r="D19" t="s">
        <v>196</v>
      </c>
      <c r="E19">
        <v>1</v>
      </c>
      <c r="F19">
        <v>1</v>
      </c>
      <c r="G19">
        <v>0.66666666666666663</v>
      </c>
      <c r="H19">
        <v>0.5</v>
      </c>
      <c r="I19">
        <v>0.6</v>
      </c>
      <c r="J19">
        <v>0.66666666666666663</v>
      </c>
      <c r="K19">
        <v>0.5714285714285714</v>
      </c>
      <c r="L19">
        <v>0.625</v>
      </c>
      <c r="M19">
        <v>0.55555555555555558</v>
      </c>
      <c r="N19">
        <v>0.5</v>
      </c>
    </row>
    <row r="20" spans="1:14" x14ac:dyDescent="0.25">
      <c r="A20" t="s">
        <v>41</v>
      </c>
      <c r="B20" t="s">
        <v>71</v>
      </c>
      <c r="C20" t="s">
        <v>72</v>
      </c>
      <c r="D20" t="s">
        <v>197</v>
      </c>
      <c r="E20">
        <v>1</v>
      </c>
      <c r="F20">
        <v>1</v>
      </c>
      <c r="G20">
        <v>0.66666666666666663</v>
      </c>
      <c r="H20">
        <v>0.75</v>
      </c>
      <c r="I20">
        <v>0.75</v>
      </c>
      <c r="J20">
        <v>0.66666666666666663</v>
      </c>
      <c r="K20">
        <v>0.7142857142857143</v>
      </c>
      <c r="L20">
        <v>0.625</v>
      </c>
      <c r="M20">
        <v>0.66666666666666663</v>
      </c>
      <c r="N20">
        <v>0.6</v>
      </c>
    </row>
    <row r="21" spans="1:14" x14ac:dyDescent="0.25">
      <c r="A21" t="s">
        <v>44</v>
      </c>
      <c r="B21" t="s">
        <v>74</v>
      </c>
      <c r="C21" t="s">
        <v>75</v>
      </c>
      <c r="D21" t="s">
        <v>198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0.125</v>
      </c>
      <c r="M21">
        <v>0.1111111111111111</v>
      </c>
      <c r="N21">
        <v>0.1</v>
      </c>
    </row>
    <row r="22" spans="1:14" x14ac:dyDescent="0.25">
      <c r="A22" t="s">
        <v>48</v>
      </c>
      <c r="B22" t="s">
        <v>77</v>
      </c>
      <c r="C22" t="s">
        <v>62</v>
      </c>
      <c r="D22" t="s">
        <v>199</v>
      </c>
      <c r="E22">
        <v>1</v>
      </c>
      <c r="F22">
        <v>0.5</v>
      </c>
      <c r="G22">
        <v>0.66666666666666663</v>
      </c>
      <c r="H22">
        <v>0.5</v>
      </c>
      <c r="I22">
        <v>0.6</v>
      </c>
      <c r="J22">
        <v>0.5</v>
      </c>
      <c r="K22">
        <v>0.42857142857142849</v>
      </c>
      <c r="L22">
        <v>0.375</v>
      </c>
      <c r="M22">
        <v>0.33333333333333331</v>
      </c>
      <c r="N22">
        <v>0.3</v>
      </c>
    </row>
    <row r="23" spans="1:14" x14ac:dyDescent="0.25">
      <c r="E23">
        <f>AVERAGE(E13:E22)</f>
        <v>0.7</v>
      </c>
      <c r="F23">
        <f t="shared" ref="F23" si="1">AVERAGE(F13:F22)</f>
        <v>0.7</v>
      </c>
      <c r="G23">
        <f t="shared" ref="G23" si="2">AVERAGE(G13:G22)</f>
        <v>0.63333333333333353</v>
      </c>
      <c r="H23">
        <f t="shared" ref="H23" si="3">AVERAGE(H13:H22)</f>
        <v>0.57499999999999996</v>
      </c>
      <c r="I23">
        <f t="shared" ref="I23" si="4">AVERAGE(I13:I22)</f>
        <v>0.57499999999999996</v>
      </c>
      <c r="J23">
        <f t="shared" ref="J23" si="5">AVERAGE(J13:J22)</f>
        <v>0.51666666666666672</v>
      </c>
      <c r="K23">
        <f t="shared" ref="K23" si="6">AVERAGE(K13:K22)</f>
        <v>0.5</v>
      </c>
      <c r="L23">
        <f t="shared" ref="L23" si="7">AVERAGE(L13:L22)</f>
        <v>0.5</v>
      </c>
      <c r="M23">
        <f t="shared" ref="M23" si="8">AVERAGE(M13:M22)</f>
        <v>0.47777777777777775</v>
      </c>
      <c r="N23">
        <f t="shared" ref="N23" si="9">AVERAGE(N13:N22)</f>
        <v>0.4499999999999999</v>
      </c>
    </row>
    <row r="24" spans="1:14" x14ac:dyDescent="0.25">
      <c r="A24" t="s">
        <v>14</v>
      </c>
      <c r="B24" t="s">
        <v>79</v>
      </c>
      <c r="C24" t="s">
        <v>80</v>
      </c>
      <c r="D24" t="s">
        <v>200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 t="s">
        <v>18</v>
      </c>
      <c r="B25" t="s">
        <v>82</v>
      </c>
      <c r="C25" t="s">
        <v>83</v>
      </c>
      <c r="D25" t="s">
        <v>201</v>
      </c>
      <c r="E25">
        <v>1</v>
      </c>
      <c r="F25">
        <v>1</v>
      </c>
      <c r="G25">
        <v>0.66666666666666663</v>
      </c>
      <c r="H25">
        <v>0.5</v>
      </c>
      <c r="I25">
        <v>0.4</v>
      </c>
      <c r="J25">
        <v>0.5</v>
      </c>
      <c r="K25">
        <v>0.42857142857142849</v>
      </c>
      <c r="L25">
        <v>0.375</v>
      </c>
      <c r="M25">
        <v>0.33333333333333331</v>
      </c>
      <c r="N25">
        <v>0.3</v>
      </c>
    </row>
    <row r="26" spans="1:14" x14ac:dyDescent="0.25">
      <c r="A26" t="s">
        <v>21</v>
      </c>
      <c r="B26" t="s">
        <v>85</v>
      </c>
      <c r="C26" t="s">
        <v>86</v>
      </c>
      <c r="D26" t="s">
        <v>202</v>
      </c>
      <c r="E26">
        <v>1</v>
      </c>
      <c r="F26">
        <v>1</v>
      </c>
      <c r="G26">
        <v>1</v>
      </c>
      <c r="H26">
        <v>1</v>
      </c>
      <c r="I26">
        <v>0.8</v>
      </c>
      <c r="J26">
        <v>0.83333333333333337</v>
      </c>
      <c r="K26">
        <v>0.7142857142857143</v>
      </c>
      <c r="L26">
        <v>0.625</v>
      </c>
      <c r="M26">
        <v>0.55555555555555558</v>
      </c>
      <c r="N26">
        <v>0.6</v>
      </c>
    </row>
    <row r="27" spans="1:14" x14ac:dyDescent="0.25">
      <c r="A27" t="s">
        <v>25</v>
      </c>
      <c r="B27" t="s">
        <v>88</v>
      </c>
      <c r="C27" t="s">
        <v>89</v>
      </c>
      <c r="D27" t="s">
        <v>203</v>
      </c>
      <c r="E27">
        <v>1</v>
      </c>
      <c r="F27">
        <v>1</v>
      </c>
      <c r="G27">
        <v>1</v>
      </c>
      <c r="H27">
        <v>1</v>
      </c>
      <c r="I27">
        <v>0.8</v>
      </c>
      <c r="J27">
        <v>0.83333333333333337</v>
      </c>
      <c r="K27">
        <v>0.7142857142857143</v>
      </c>
      <c r="L27">
        <v>0.75</v>
      </c>
      <c r="M27">
        <v>0.66666666666666663</v>
      </c>
      <c r="N27">
        <v>0.6</v>
      </c>
    </row>
    <row r="28" spans="1:14" x14ac:dyDescent="0.25">
      <c r="A28" t="s">
        <v>29</v>
      </c>
      <c r="B28" t="s">
        <v>91</v>
      </c>
      <c r="C28" t="s">
        <v>92</v>
      </c>
      <c r="D28" t="s">
        <v>204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0.875</v>
      </c>
      <c r="M28">
        <v>0.88888888888888884</v>
      </c>
      <c r="N28">
        <v>0.8</v>
      </c>
    </row>
    <row r="29" spans="1:14" x14ac:dyDescent="0.25">
      <c r="A29" t="s">
        <v>33</v>
      </c>
      <c r="B29" t="s">
        <v>94</v>
      </c>
      <c r="C29" t="s">
        <v>95</v>
      </c>
      <c r="D29" t="s">
        <v>205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0.8571428571428571</v>
      </c>
      <c r="L29">
        <v>0.875</v>
      </c>
      <c r="M29">
        <v>0.88888888888888884</v>
      </c>
      <c r="N29">
        <v>0.8</v>
      </c>
    </row>
    <row r="30" spans="1:14" x14ac:dyDescent="0.25">
      <c r="A30" t="s">
        <v>37</v>
      </c>
      <c r="B30" t="s">
        <v>97</v>
      </c>
      <c r="C30" t="s">
        <v>98</v>
      </c>
      <c r="D30" t="s">
        <v>206</v>
      </c>
      <c r="E30">
        <v>1</v>
      </c>
      <c r="F30">
        <v>0.5</v>
      </c>
      <c r="G30">
        <v>0.66666666666666663</v>
      </c>
      <c r="H30">
        <v>0.5</v>
      </c>
      <c r="I30">
        <v>0.4</v>
      </c>
      <c r="J30">
        <v>0.5</v>
      </c>
      <c r="K30">
        <v>0.42857142857142849</v>
      </c>
      <c r="L30">
        <v>0.5</v>
      </c>
      <c r="M30">
        <v>0.55555555555555558</v>
      </c>
      <c r="N30">
        <v>0.5</v>
      </c>
    </row>
    <row r="31" spans="1:14" x14ac:dyDescent="0.25">
      <c r="A31" t="s">
        <v>41</v>
      </c>
      <c r="B31" t="s">
        <v>100</v>
      </c>
      <c r="C31" t="s">
        <v>101</v>
      </c>
      <c r="D31" t="s">
        <v>207</v>
      </c>
      <c r="E31">
        <v>1</v>
      </c>
      <c r="F31">
        <v>1</v>
      </c>
      <c r="G31">
        <v>1</v>
      </c>
      <c r="H31">
        <v>0.75</v>
      </c>
      <c r="I31">
        <v>0.6</v>
      </c>
      <c r="J31">
        <v>0.5</v>
      </c>
      <c r="K31">
        <v>0.42857142857142849</v>
      </c>
      <c r="L31">
        <v>0.375</v>
      </c>
      <c r="M31">
        <v>0.33333333333333331</v>
      </c>
      <c r="N31">
        <v>0.3</v>
      </c>
    </row>
    <row r="32" spans="1:14" x14ac:dyDescent="0.25">
      <c r="A32" t="s">
        <v>44</v>
      </c>
      <c r="B32" t="s">
        <v>103</v>
      </c>
      <c r="C32" t="s">
        <v>104</v>
      </c>
      <c r="D32" t="s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209</v>
      </c>
      <c r="E33">
        <v>1</v>
      </c>
      <c r="F33">
        <v>0.5</v>
      </c>
      <c r="G33">
        <v>0.33333333333333331</v>
      </c>
      <c r="H33">
        <v>0.25</v>
      </c>
      <c r="I33">
        <v>0.2</v>
      </c>
      <c r="J33">
        <v>0.16666666666666671</v>
      </c>
      <c r="K33">
        <v>0.14285714285714279</v>
      </c>
      <c r="L33">
        <v>0.125</v>
      </c>
      <c r="M33">
        <v>0.1111111111111111</v>
      </c>
      <c r="N33">
        <v>0.1</v>
      </c>
    </row>
    <row r="34" spans="1:14" x14ac:dyDescent="0.25">
      <c r="E34">
        <f>AVERAGE(E24:E33)</f>
        <v>0.9</v>
      </c>
      <c r="F34">
        <f t="shared" ref="F34" si="10">AVERAGE(F24:F33)</f>
        <v>0.8</v>
      </c>
      <c r="G34">
        <f t="shared" ref="G34" si="11">AVERAGE(G24:G33)</f>
        <v>0.76666666666666661</v>
      </c>
      <c r="H34">
        <f t="shared" ref="H34" si="12">AVERAGE(H24:H33)</f>
        <v>0.7</v>
      </c>
      <c r="I34">
        <f t="shared" ref="I34" si="13">AVERAGE(I24:I33)</f>
        <v>0.62</v>
      </c>
      <c r="J34">
        <f t="shared" ref="J34" si="14">AVERAGE(J24:J33)</f>
        <v>0.63333333333333341</v>
      </c>
      <c r="K34">
        <f t="shared" ref="K34" si="15">AVERAGE(K24:K33)</f>
        <v>0.57142857142857151</v>
      </c>
      <c r="L34">
        <f t="shared" ref="L34" si="16">AVERAGE(L24:L33)</f>
        <v>0.55000000000000004</v>
      </c>
      <c r="M34">
        <f t="shared" ref="M34" si="17">AVERAGE(M24:M33)</f>
        <v>0.53333333333333321</v>
      </c>
      <c r="N34">
        <f t="shared" ref="N34" si="18">AVERAGE(N24:N33)</f>
        <v>0.49999999999999989</v>
      </c>
    </row>
    <row r="35" spans="1:14" x14ac:dyDescent="0.25">
      <c r="A35" t="s">
        <v>14</v>
      </c>
      <c r="B35" t="s">
        <v>109</v>
      </c>
      <c r="C35" t="s">
        <v>110</v>
      </c>
      <c r="D35" t="s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18</v>
      </c>
      <c r="B36" t="s">
        <v>112</v>
      </c>
      <c r="C36" t="s">
        <v>113</v>
      </c>
      <c r="D36" t="s">
        <v>211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212</v>
      </c>
      <c r="E37">
        <v>0</v>
      </c>
      <c r="F37">
        <v>0</v>
      </c>
      <c r="G37">
        <v>0</v>
      </c>
      <c r="H37">
        <v>0</v>
      </c>
      <c r="I37">
        <v>0.2</v>
      </c>
      <c r="J37">
        <v>0.16666666666666671</v>
      </c>
      <c r="K37">
        <v>0.14285714285714279</v>
      </c>
      <c r="L37">
        <v>0.25</v>
      </c>
      <c r="M37">
        <v>0.22222222222222221</v>
      </c>
      <c r="N37">
        <v>0.2</v>
      </c>
    </row>
    <row r="38" spans="1:14" x14ac:dyDescent="0.25">
      <c r="A38" t="s">
        <v>25</v>
      </c>
      <c r="B38" t="s">
        <v>118</v>
      </c>
      <c r="C38" t="s">
        <v>80</v>
      </c>
      <c r="D38" t="s">
        <v>213</v>
      </c>
      <c r="E38">
        <v>1</v>
      </c>
      <c r="F38">
        <v>0.5</v>
      </c>
      <c r="G38">
        <v>0.33333333333333331</v>
      </c>
      <c r="H38">
        <v>0.25</v>
      </c>
      <c r="I38">
        <v>0.2</v>
      </c>
      <c r="J38">
        <v>0.33333333333333331</v>
      </c>
      <c r="K38">
        <v>0.2857142857142857</v>
      </c>
      <c r="L38">
        <v>0.375</v>
      </c>
      <c r="M38">
        <v>0.33333333333333331</v>
      </c>
      <c r="N38">
        <v>0.4</v>
      </c>
    </row>
    <row r="39" spans="1:14" x14ac:dyDescent="0.25">
      <c r="A39" t="s">
        <v>29</v>
      </c>
      <c r="B39" t="s">
        <v>120</v>
      </c>
      <c r="C39" t="s">
        <v>121</v>
      </c>
      <c r="D39" t="s">
        <v>214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33</v>
      </c>
      <c r="B40" t="s">
        <v>123</v>
      </c>
      <c r="C40" t="s">
        <v>56</v>
      </c>
      <c r="D40" t="s">
        <v>215</v>
      </c>
      <c r="E40">
        <v>0</v>
      </c>
      <c r="F40">
        <v>0.5</v>
      </c>
      <c r="G40">
        <v>0.33333333333333331</v>
      </c>
      <c r="H40">
        <v>0.25</v>
      </c>
      <c r="I40">
        <v>0.2</v>
      </c>
      <c r="J40">
        <v>0.16666666666666671</v>
      </c>
      <c r="K40">
        <v>0.14285714285714279</v>
      </c>
      <c r="L40">
        <v>0.125</v>
      </c>
      <c r="M40">
        <v>0.1111111111111111</v>
      </c>
      <c r="N40">
        <v>0.1</v>
      </c>
    </row>
    <row r="41" spans="1:14" x14ac:dyDescent="0.25">
      <c r="A41" t="s">
        <v>37</v>
      </c>
      <c r="B41" t="s">
        <v>125</v>
      </c>
      <c r="C41" t="s">
        <v>126</v>
      </c>
      <c r="D41" t="s">
        <v>216</v>
      </c>
      <c r="E41">
        <v>0</v>
      </c>
      <c r="F41">
        <v>0</v>
      </c>
      <c r="G41">
        <v>0</v>
      </c>
      <c r="H41">
        <v>0.25</v>
      </c>
      <c r="I41">
        <v>0.2</v>
      </c>
      <c r="J41">
        <v>0.33333333333333331</v>
      </c>
      <c r="K41">
        <v>0.2857142857142857</v>
      </c>
      <c r="L41">
        <v>0.25</v>
      </c>
      <c r="M41">
        <v>0.22222222222222221</v>
      </c>
      <c r="N41">
        <v>0.2</v>
      </c>
    </row>
    <row r="42" spans="1:14" x14ac:dyDescent="0.25">
      <c r="A42" t="s">
        <v>41</v>
      </c>
      <c r="B42" t="s">
        <v>128</v>
      </c>
      <c r="C42" t="s">
        <v>129</v>
      </c>
      <c r="D42" t="s">
        <v>217</v>
      </c>
      <c r="E42">
        <v>0</v>
      </c>
      <c r="F42">
        <v>0</v>
      </c>
      <c r="G42">
        <v>0</v>
      </c>
      <c r="H42">
        <v>0</v>
      </c>
      <c r="I42">
        <v>0</v>
      </c>
      <c r="J42">
        <v>0.16666666666666671</v>
      </c>
      <c r="K42">
        <v>0.14285714285714279</v>
      </c>
      <c r="L42">
        <v>0.125</v>
      </c>
      <c r="M42">
        <v>0.22222222222222221</v>
      </c>
      <c r="N42">
        <v>0.2</v>
      </c>
    </row>
    <row r="43" spans="1:14" x14ac:dyDescent="0.25">
      <c r="A43" t="s">
        <v>44</v>
      </c>
      <c r="B43" t="s">
        <v>131</v>
      </c>
      <c r="C43" t="s">
        <v>132</v>
      </c>
      <c r="D43" t="s">
        <v>218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219</v>
      </c>
      <c r="E44">
        <v>1</v>
      </c>
      <c r="F44">
        <v>0.5</v>
      </c>
      <c r="G44">
        <v>0.33333333333333331</v>
      </c>
      <c r="H44">
        <v>0.25</v>
      </c>
      <c r="I44">
        <v>0.2</v>
      </c>
      <c r="J44">
        <v>0.16666666666666671</v>
      </c>
      <c r="K44">
        <v>0.14285714285714279</v>
      </c>
      <c r="L44">
        <v>0.125</v>
      </c>
      <c r="M44">
        <v>0.1111111111111111</v>
      </c>
      <c r="N44">
        <v>0.1</v>
      </c>
    </row>
    <row r="45" spans="1:14" x14ac:dyDescent="0.25">
      <c r="A45" t="s">
        <v>137</v>
      </c>
      <c r="B45" t="s">
        <v>138</v>
      </c>
      <c r="C45" t="s">
        <v>139</v>
      </c>
      <c r="D45" t="s">
        <v>220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141</v>
      </c>
      <c r="B46" t="s">
        <v>142</v>
      </c>
      <c r="C46" t="s">
        <v>143</v>
      </c>
      <c r="D46" t="s">
        <v>221</v>
      </c>
      <c r="E46">
        <v>0</v>
      </c>
      <c r="F46">
        <v>0.5</v>
      </c>
      <c r="G46">
        <v>0.33333333333333331</v>
      </c>
      <c r="H46">
        <v>0.25</v>
      </c>
      <c r="I46">
        <v>0.2</v>
      </c>
      <c r="J46">
        <v>0.33333333333333331</v>
      </c>
      <c r="K46">
        <v>0.2857142857142857</v>
      </c>
      <c r="L46">
        <v>0.25</v>
      </c>
      <c r="M46">
        <v>0.22222222222222221</v>
      </c>
      <c r="N46">
        <v>0.2</v>
      </c>
    </row>
    <row r="47" spans="1:14" x14ac:dyDescent="0.25">
      <c r="A47" t="s">
        <v>145</v>
      </c>
      <c r="B47" t="s">
        <v>146</v>
      </c>
      <c r="C47" t="s">
        <v>147</v>
      </c>
      <c r="D47" t="s">
        <v>222</v>
      </c>
      <c r="E47">
        <v>1</v>
      </c>
      <c r="F47">
        <v>1</v>
      </c>
      <c r="G47">
        <v>0.66666666666666663</v>
      </c>
      <c r="H47">
        <v>0.75</v>
      </c>
      <c r="I47">
        <v>0.6</v>
      </c>
      <c r="J47">
        <v>0.5</v>
      </c>
      <c r="K47">
        <v>0.42857142857142849</v>
      </c>
      <c r="L47">
        <v>0.375</v>
      </c>
      <c r="M47">
        <v>0.33333333333333331</v>
      </c>
      <c r="N47">
        <v>0.3</v>
      </c>
    </row>
    <row r="48" spans="1:14" x14ac:dyDescent="0.25">
      <c r="A48" t="s">
        <v>149</v>
      </c>
      <c r="B48" t="s">
        <v>150</v>
      </c>
      <c r="C48" t="s">
        <v>151</v>
      </c>
      <c r="D48" t="s">
        <v>223</v>
      </c>
      <c r="E48">
        <v>1</v>
      </c>
      <c r="F48">
        <v>0.5</v>
      </c>
      <c r="G48">
        <v>0.66666666666666663</v>
      </c>
      <c r="H48">
        <v>0.5</v>
      </c>
      <c r="I48">
        <v>0.4</v>
      </c>
      <c r="J48">
        <v>0.33333333333333331</v>
      </c>
      <c r="K48">
        <v>0.42857142857142849</v>
      </c>
      <c r="L48">
        <v>0.375</v>
      </c>
      <c r="M48">
        <v>0.33333333333333331</v>
      </c>
      <c r="N48">
        <v>0.3</v>
      </c>
    </row>
    <row r="49" spans="1:14" x14ac:dyDescent="0.25">
      <c r="A49" t="s">
        <v>153</v>
      </c>
      <c r="B49" t="s">
        <v>154</v>
      </c>
      <c r="C49" t="s">
        <v>155</v>
      </c>
      <c r="D49" t="s">
        <v>224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157</v>
      </c>
      <c r="B50" t="s">
        <v>158</v>
      </c>
      <c r="C50" t="s">
        <v>159</v>
      </c>
      <c r="D50" t="s">
        <v>225</v>
      </c>
      <c r="E50">
        <v>0</v>
      </c>
      <c r="F50">
        <v>0</v>
      </c>
      <c r="G50">
        <v>0.33333333333333331</v>
      </c>
      <c r="H50">
        <v>0.25</v>
      </c>
      <c r="I50">
        <v>0.2</v>
      </c>
      <c r="J50">
        <v>0.16666666666666671</v>
      </c>
      <c r="K50">
        <v>0.14285714285714279</v>
      </c>
      <c r="L50">
        <v>0.125</v>
      </c>
      <c r="M50">
        <v>0.1111111111111111</v>
      </c>
      <c r="N50">
        <v>0.1</v>
      </c>
    </row>
    <row r="51" spans="1:14" x14ac:dyDescent="0.25">
      <c r="A51" t="s">
        <v>161</v>
      </c>
      <c r="B51" t="s">
        <v>162</v>
      </c>
      <c r="C51" t="s">
        <v>163</v>
      </c>
      <c r="D51" t="s">
        <v>226</v>
      </c>
      <c r="E51">
        <v>0</v>
      </c>
      <c r="F51">
        <v>0.5</v>
      </c>
      <c r="G51">
        <v>0.33333333333333331</v>
      </c>
      <c r="H51">
        <v>0.25</v>
      </c>
      <c r="I51">
        <v>0.2</v>
      </c>
      <c r="J51">
        <v>0.33333333333333331</v>
      </c>
      <c r="K51">
        <v>0.42857142857142849</v>
      </c>
      <c r="L51">
        <v>0.5</v>
      </c>
      <c r="M51">
        <v>0.55555555555555558</v>
      </c>
      <c r="N51">
        <v>0.6</v>
      </c>
    </row>
    <row r="52" spans="1:14" x14ac:dyDescent="0.25">
      <c r="A52" t="s">
        <v>165</v>
      </c>
      <c r="B52" t="s">
        <v>166</v>
      </c>
      <c r="C52" t="s">
        <v>167</v>
      </c>
      <c r="D52" t="s">
        <v>227</v>
      </c>
      <c r="E52">
        <v>0</v>
      </c>
      <c r="F52">
        <v>0</v>
      </c>
      <c r="G52">
        <v>0.33333333333333331</v>
      </c>
      <c r="H52">
        <v>0.5</v>
      </c>
      <c r="I52">
        <v>0.4</v>
      </c>
      <c r="J52">
        <v>0.33333333333333331</v>
      </c>
      <c r="K52">
        <v>0.2857142857142857</v>
      </c>
      <c r="L52">
        <v>0.25</v>
      </c>
      <c r="M52">
        <v>0.33333333333333331</v>
      </c>
      <c r="N52">
        <v>0.3</v>
      </c>
    </row>
    <row r="53" spans="1:14" x14ac:dyDescent="0.25">
      <c r="A53" t="s">
        <v>169</v>
      </c>
      <c r="B53" t="s">
        <v>170</v>
      </c>
      <c r="C53" t="s">
        <v>171</v>
      </c>
      <c r="D53" t="s">
        <v>228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173</v>
      </c>
      <c r="B54" t="s">
        <v>174</v>
      </c>
      <c r="C54" t="s">
        <v>175</v>
      </c>
      <c r="D54" t="s">
        <v>229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0.14285714285714279</v>
      </c>
      <c r="L54">
        <v>0.125</v>
      </c>
      <c r="M54">
        <v>0.22222222222222221</v>
      </c>
      <c r="N54">
        <v>0.2</v>
      </c>
    </row>
    <row r="55" spans="1:14" x14ac:dyDescent="0.25">
      <c r="A55" t="s">
        <v>177</v>
      </c>
      <c r="B55" t="s">
        <v>178</v>
      </c>
      <c r="C55" t="s">
        <v>101</v>
      </c>
      <c r="D55" t="s">
        <v>230</v>
      </c>
      <c r="E55">
        <v>1</v>
      </c>
      <c r="F55">
        <v>1</v>
      </c>
      <c r="G55">
        <v>1</v>
      </c>
      <c r="H55">
        <v>1</v>
      </c>
      <c r="I55">
        <v>0.8</v>
      </c>
      <c r="J55">
        <v>0.66666666666666663</v>
      </c>
      <c r="K55">
        <v>0.5714285714285714</v>
      </c>
      <c r="L55">
        <v>0.625</v>
      </c>
      <c r="M55">
        <v>0.55555555555555558</v>
      </c>
      <c r="N55">
        <v>0.5</v>
      </c>
    </row>
    <row r="56" spans="1:14" x14ac:dyDescent="0.25">
      <c r="E56">
        <f>AVERAGE(E35:E55)</f>
        <v>0.23809523809523808</v>
      </c>
      <c r="F56">
        <f t="shared" ref="F56:N56" si="19">AVERAGE(F35:F55)</f>
        <v>0.23809523809523808</v>
      </c>
      <c r="G56">
        <f t="shared" si="19"/>
        <v>0.22222222222222224</v>
      </c>
      <c r="H56">
        <f t="shared" si="19"/>
        <v>0.21428571428571427</v>
      </c>
      <c r="I56">
        <f t="shared" si="19"/>
        <v>0.18095238095238095</v>
      </c>
      <c r="J56">
        <f t="shared" si="19"/>
        <v>0.19047619047619052</v>
      </c>
      <c r="K56">
        <f t="shared" si="19"/>
        <v>0.18367346938775503</v>
      </c>
      <c r="L56">
        <f t="shared" si="19"/>
        <v>0.18452380952380953</v>
      </c>
      <c r="M56">
        <f t="shared" si="19"/>
        <v>0.1851851851851852</v>
      </c>
      <c r="N56">
        <f t="shared" si="19"/>
        <v>0.1761904761904762</v>
      </c>
    </row>
    <row r="58" spans="1:14" x14ac:dyDescent="0.25">
      <c r="E58">
        <f>AVERAGE(E56,E34,E23,E12)</f>
        <v>0.65952380952380951</v>
      </c>
      <c r="F58">
        <f t="shared" ref="F58:N58" si="20">AVERAGE(F56,F34,F23,F12)</f>
        <v>0.60952380952380958</v>
      </c>
      <c r="G58">
        <f t="shared" si="20"/>
        <v>0.53055555555555556</v>
      </c>
      <c r="H58">
        <f t="shared" si="20"/>
        <v>0.47857142857142859</v>
      </c>
      <c r="I58">
        <f t="shared" si="20"/>
        <v>0.43398809523809528</v>
      </c>
      <c r="J58">
        <f t="shared" si="20"/>
        <v>0.41845238095238096</v>
      </c>
      <c r="K58">
        <f t="shared" si="20"/>
        <v>0.39948979591836731</v>
      </c>
      <c r="L58">
        <f t="shared" si="20"/>
        <v>0.39300595238095237</v>
      </c>
      <c r="M58">
        <f t="shared" si="20"/>
        <v>0.38240740740740742</v>
      </c>
      <c r="N58">
        <f t="shared" si="20"/>
        <v>0.36154761904761901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zoomScale="85" zoomScaleNormal="85" workbookViewId="0">
      <selection activeCell="T29" sqref="T2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0.8571428571428571</v>
      </c>
      <c r="L2">
        <v>0.75</v>
      </c>
      <c r="M2">
        <v>0.77777777777777779</v>
      </c>
      <c r="N2">
        <v>0.8</v>
      </c>
    </row>
    <row r="3" spans="1:14" x14ac:dyDescent="0.25">
      <c r="A3" t="s">
        <v>18</v>
      </c>
      <c r="B3" t="s">
        <v>19</v>
      </c>
      <c r="C3" t="s">
        <v>16</v>
      </c>
      <c r="D3" t="s">
        <v>20</v>
      </c>
      <c r="E3">
        <v>1</v>
      </c>
      <c r="F3">
        <v>0.5</v>
      </c>
      <c r="G3">
        <v>0.33333333333333331</v>
      </c>
      <c r="H3">
        <v>0.25</v>
      </c>
      <c r="I3">
        <v>0.2</v>
      </c>
      <c r="J3">
        <v>0.33333333333333331</v>
      </c>
      <c r="K3">
        <v>0.42857142857142849</v>
      </c>
      <c r="L3">
        <v>0.5</v>
      </c>
      <c r="M3">
        <v>0.44444444444444442</v>
      </c>
      <c r="N3">
        <v>0.4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1</v>
      </c>
      <c r="F4">
        <v>1</v>
      </c>
      <c r="G4">
        <v>0.66666666666666663</v>
      </c>
      <c r="H4">
        <v>0.75</v>
      </c>
      <c r="I4">
        <v>0.8</v>
      </c>
      <c r="J4">
        <v>0.83333333333333337</v>
      </c>
      <c r="K4">
        <v>0.8571428571428571</v>
      </c>
      <c r="L4">
        <v>0.75</v>
      </c>
      <c r="M4">
        <v>0.77777777777777779</v>
      </c>
      <c r="N4">
        <v>0.7</v>
      </c>
    </row>
    <row r="5" spans="1:14" x14ac:dyDescent="0.25">
      <c r="A5" t="s">
        <v>25</v>
      </c>
      <c r="B5" t="s">
        <v>26</v>
      </c>
      <c r="C5" t="s">
        <v>27</v>
      </c>
      <c r="D5" t="s">
        <v>28</v>
      </c>
      <c r="E5">
        <v>1</v>
      </c>
      <c r="F5">
        <v>0.5</v>
      </c>
      <c r="G5">
        <v>0.33333333333333331</v>
      </c>
      <c r="H5">
        <v>0.25</v>
      </c>
      <c r="I5">
        <v>0.2</v>
      </c>
      <c r="J5">
        <v>0.16666666666666671</v>
      </c>
      <c r="K5">
        <v>0.16666666666666671</v>
      </c>
      <c r="L5">
        <v>0.14285714285714279</v>
      </c>
      <c r="M5">
        <v>0.125</v>
      </c>
      <c r="N5">
        <v>0.1111111111111111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>
        <v>1</v>
      </c>
      <c r="F6">
        <v>0.5</v>
      </c>
      <c r="G6">
        <v>0.33333333333333331</v>
      </c>
      <c r="H6">
        <v>0.25</v>
      </c>
      <c r="I6">
        <v>0.2</v>
      </c>
      <c r="J6">
        <v>0.16666666666666671</v>
      </c>
      <c r="K6">
        <v>0.14285714285714279</v>
      </c>
      <c r="L6">
        <v>0.125</v>
      </c>
      <c r="M6">
        <v>0.1111111111111111</v>
      </c>
      <c r="N6">
        <v>0.1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>
        <v>1</v>
      </c>
      <c r="F7">
        <v>1</v>
      </c>
      <c r="G7">
        <v>0.5</v>
      </c>
      <c r="H7">
        <v>0.33333333333333331</v>
      </c>
      <c r="I7">
        <v>0.25</v>
      </c>
      <c r="J7">
        <v>0.2</v>
      </c>
      <c r="K7">
        <v>0.16666666666666671</v>
      </c>
      <c r="L7">
        <v>0.14285714285714279</v>
      </c>
      <c r="M7">
        <v>0.125</v>
      </c>
      <c r="N7">
        <v>0.1111111111111111</v>
      </c>
    </row>
    <row r="8" spans="1:14" x14ac:dyDescent="0.25">
      <c r="A8" t="s">
        <v>37</v>
      </c>
      <c r="B8" t="s">
        <v>38</v>
      </c>
      <c r="C8" t="s">
        <v>39</v>
      </c>
      <c r="D8" t="s">
        <v>40</v>
      </c>
      <c r="E8">
        <v>1</v>
      </c>
      <c r="F8">
        <v>0.5</v>
      </c>
      <c r="G8">
        <v>0.33333333333333331</v>
      </c>
      <c r="H8">
        <v>0.25</v>
      </c>
      <c r="I8">
        <v>0.2</v>
      </c>
      <c r="J8">
        <v>0.2</v>
      </c>
      <c r="K8">
        <v>0.16666666666666671</v>
      </c>
      <c r="L8">
        <v>0.14285714285714279</v>
      </c>
      <c r="M8">
        <v>0.125</v>
      </c>
      <c r="N8">
        <v>0.1111111111111111</v>
      </c>
    </row>
    <row r="9" spans="1:14" x14ac:dyDescent="0.25">
      <c r="A9" t="s">
        <v>41</v>
      </c>
      <c r="B9" t="s">
        <v>42</v>
      </c>
      <c r="C9" t="s">
        <v>39</v>
      </c>
      <c r="D9" t="s">
        <v>43</v>
      </c>
      <c r="E9">
        <v>1</v>
      </c>
      <c r="F9">
        <v>0.5</v>
      </c>
      <c r="G9">
        <v>0.33333333333333331</v>
      </c>
      <c r="H9">
        <v>0.25</v>
      </c>
      <c r="I9">
        <v>0.2</v>
      </c>
      <c r="J9">
        <v>0.2</v>
      </c>
      <c r="K9">
        <v>0.16666666666666671</v>
      </c>
      <c r="L9">
        <v>0.14285714285714279</v>
      </c>
      <c r="M9">
        <v>0.125</v>
      </c>
      <c r="N9">
        <v>0.1111111111111111</v>
      </c>
    </row>
    <row r="10" spans="1:14" x14ac:dyDescent="0.25">
      <c r="A10" t="s">
        <v>44</v>
      </c>
      <c r="B10" t="s">
        <v>45</v>
      </c>
      <c r="C10" t="s">
        <v>46</v>
      </c>
      <c r="D10" t="s">
        <v>47</v>
      </c>
      <c r="E10">
        <v>1</v>
      </c>
      <c r="F10">
        <v>0.5</v>
      </c>
      <c r="G10">
        <v>0.33333333333333331</v>
      </c>
      <c r="H10">
        <v>0.25</v>
      </c>
      <c r="I10">
        <v>0.2</v>
      </c>
      <c r="J10">
        <v>0.16666666666666671</v>
      </c>
      <c r="K10">
        <v>0.14285714285714279</v>
      </c>
      <c r="L10">
        <v>0.125</v>
      </c>
      <c r="M10">
        <v>0.22222222222222221</v>
      </c>
      <c r="N10">
        <v>0.2</v>
      </c>
    </row>
    <row r="11" spans="1:14" x14ac:dyDescent="0.25">
      <c r="A11" t="s">
        <v>48</v>
      </c>
      <c r="B11" t="s">
        <v>49</v>
      </c>
      <c r="C11" t="s">
        <v>50</v>
      </c>
      <c r="D11" t="s">
        <v>51</v>
      </c>
      <c r="E11">
        <v>1</v>
      </c>
      <c r="F11">
        <v>1</v>
      </c>
      <c r="G11">
        <v>0.66666666666666663</v>
      </c>
      <c r="H11">
        <v>0.5</v>
      </c>
      <c r="I11">
        <v>0.4</v>
      </c>
      <c r="J11">
        <v>0.33333333333333331</v>
      </c>
      <c r="K11">
        <v>0.2857142857142857</v>
      </c>
      <c r="L11">
        <v>0.25</v>
      </c>
      <c r="M11">
        <v>0.22222222222222221</v>
      </c>
      <c r="N11">
        <v>0.2</v>
      </c>
    </row>
    <row r="12" spans="1:14" x14ac:dyDescent="0.25">
      <c r="E12">
        <f>AVERAGE(E2:E11)</f>
        <v>1</v>
      </c>
      <c r="F12">
        <f t="shared" ref="F12:N12" si="0">AVERAGE(F2:F11)</f>
        <v>0.7</v>
      </c>
      <c r="G12">
        <f t="shared" si="0"/>
        <v>0.48333333333333339</v>
      </c>
      <c r="H12">
        <f t="shared" si="0"/>
        <v>0.40833333333333338</v>
      </c>
      <c r="I12">
        <f t="shared" si="0"/>
        <v>0.3650000000000001</v>
      </c>
      <c r="J12">
        <f t="shared" si="0"/>
        <v>0.36</v>
      </c>
      <c r="K12">
        <f t="shared" si="0"/>
        <v>0.338095238095238</v>
      </c>
      <c r="L12">
        <f t="shared" si="0"/>
        <v>0.30714285714285711</v>
      </c>
      <c r="M12">
        <f t="shared" si="0"/>
        <v>0.30555555555555558</v>
      </c>
      <c r="N12">
        <f t="shared" si="0"/>
        <v>0.2844444444444445</v>
      </c>
    </row>
    <row r="13" spans="1:14" x14ac:dyDescent="0.25">
      <c r="A13" t="s">
        <v>14</v>
      </c>
      <c r="B13" t="s">
        <v>52</v>
      </c>
      <c r="C13" t="s">
        <v>53</v>
      </c>
      <c r="D13" t="s">
        <v>54</v>
      </c>
      <c r="E13">
        <v>1</v>
      </c>
      <c r="F13">
        <v>1</v>
      </c>
      <c r="G13">
        <v>1</v>
      </c>
      <c r="H13">
        <v>1</v>
      </c>
      <c r="I13">
        <v>1</v>
      </c>
      <c r="J13">
        <v>0.8</v>
      </c>
      <c r="K13">
        <v>0.66666666666666663</v>
      </c>
      <c r="L13">
        <v>0.66666666666666663</v>
      </c>
      <c r="M13">
        <v>0.66666666666666663</v>
      </c>
      <c r="N13">
        <v>0.66666666666666663</v>
      </c>
    </row>
    <row r="14" spans="1:14" x14ac:dyDescent="0.25">
      <c r="A14" t="s">
        <v>18</v>
      </c>
      <c r="B14" t="s">
        <v>55</v>
      </c>
      <c r="C14" t="s">
        <v>56</v>
      </c>
      <c r="D14" t="s">
        <v>57</v>
      </c>
      <c r="E14">
        <v>1</v>
      </c>
      <c r="F14">
        <v>1</v>
      </c>
      <c r="G14">
        <v>1</v>
      </c>
      <c r="H14">
        <v>0.75</v>
      </c>
      <c r="I14">
        <v>0.6</v>
      </c>
      <c r="J14">
        <v>0.5</v>
      </c>
      <c r="K14">
        <v>0.42857142857142849</v>
      </c>
      <c r="L14">
        <v>0.42857142857142849</v>
      </c>
      <c r="M14">
        <v>0.375</v>
      </c>
      <c r="N14">
        <v>0.33333333333333331</v>
      </c>
    </row>
    <row r="15" spans="1:14" x14ac:dyDescent="0.25">
      <c r="A15" t="s">
        <v>21</v>
      </c>
      <c r="B15" t="s">
        <v>58</v>
      </c>
      <c r="C15" t="s">
        <v>59</v>
      </c>
      <c r="D15" t="s">
        <v>60</v>
      </c>
      <c r="E15">
        <v>0</v>
      </c>
      <c r="F15">
        <v>0</v>
      </c>
      <c r="G15">
        <v>0.33333333333333331</v>
      </c>
      <c r="H15">
        <v>0.5</v>
      </c>
      <c r="I15">
        <v>0.5</v>
      </c>
      <c r="J15">
        <v>0.6</v>
      </c>
      <c r="K15">
        <v>0.66666666666666663</v>
      </c>
      <c r="L15">
        <v>0.5714285714285714</v>
      </c>
      <c r="M15">
        <v>0.5</v>
      </c>
      <c r="N15">
        <v>0.44444444444444442</v>
      </c>
    </row>
    <row r="16" spans="1:14" x14ac:dyDescent="0.25">
      <c r="A16" t="s">
        <v>25</v>
      </c>
      <c r="B16" t="s">
        <v>61</v>
      </c>
      <c r="C16" t="s">
        <v>62</v>
      </c>
      <c r="D16" t="s">
        <v>63</v>
      </c>
      <c r="E16">
        <v>1</v>
      </c>
      <c r="F16">
        <v>0.5</v>
      </c>
      <c r="G16">
        <v>0.33333333333333331</v>
      </c>
      <c r="H16">
        <v>0.25</v>
      </c>
      <c r="I16">
        <v>0.2</v>
      </c>
      <c r="J16">
        <v>0.16666666666666671</v>
      </c>
      <c r="K16">
        <v>0.14285714285714279</v>
      </c>
      <c r="L16">
        <v>0.125</v>
      </c>
      <c r="M16">
        <v>0.1111111111111111</v>
      </c>
      <c r="N16">
        <v>0.1</v>
      </c>
    </row>
    <row r="17" spans="1:14" x14ac:dyDescent="0.25">
      <c r="A17" t="s">
        <v>29</v>
      </c>
      <c r="B17" t="s">
        <v>64</v>
      </c>
      <c r="C17" t="s">
        <v>65</v>
      </c>
      <c r="D17" t="s">
        <v>66</v>
      </c>
      <c r="E17">
        <v>1</v>
      </c>
      <c r="F17">
        <v>0.5</v>
      </c>
      <c r="G17">
        <v>0.33333333333333331</v>
      </c>
      <c r="H17">
        <v>0.25</v>
      </c>
      <c r="I17">
        <v>0.2</v>
      </c>
      <c r="J17">
        <v>0.16666666666666671</v>
      </c>
      <c r="K17">
        <v>0.16666666666666671</v>
      </c>
      <c r="L17">
        <v>0.14285714285714279</v>
      </c>
      <c r="M17">
        <v>0.14285714285714279</v>
      </c>
      <c r="N17">
        <v>0.14285714285714279</v>
      </c>
    </row>
    <row r="18" spans="1:14" x14ac:dyDescent="0.25">
      <c r="A18" t="s">
        <v>33</v>
      </c>
      <c r="B18" t="s">
        <v>67</v>
      </c>
      <c r="C18" t="s">
        <v>65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37</v>
      </c>
      <c r="B19" t="s">
        <v>69</v>
      </c>
      <c r="C19" t="s">
        <v>65</v>
      </c>
      <c r="D19" t="s">
        <v>70</v>
      </c>
      <c r="E19">
        <v>0</v>
      </c>
      <c r="F19">
        <v>0.5</v>
      </c>
      <c r="G19">
        <v>0.66666666666666663</v>
      </c>
      <c r="H19">
        <v>0.75</v>
      </c>
      <c r="I19">
        <v>0.8</v>
      </c>
      <c r="J19">
        <v>0.66666666666666663</v>
      </c>
      <c r="K19">
        <v>0.5714285714285714</v>
      </c>
      <c r="L19">
        <v>0.5</v>
      </c>
      <c r="M19">
        <v>0.44444444444444442</v>
      </c>
      <c r="N19">
        <v>0.44444444444444442</v>
      </c>
    </row>
    <row r="20" spans="1:14" x14ac:dyDescent="0.25">
      <c r="A20" t="s">
        <v>41</v>
      </c>
      <c r="B20" t="s">
        <v>71</v>
      </c>
      <c r="C20" t="s">
        <v>72</v>
      </c>
      <c r="D20" t="s">
        <v>73</v>
      </c>
      <c r="E20">
        <v>0</v>
      </c>
      <c r="F20">
        <v>0.5</v>
      </c>
      <c r="G20">
        <v>0.66666666666666663</v>
      </c>
      <c r="H20">
        <v>0.66666666666666663</v>
      </c>
      <c r="I20">
        <v>0.66666666666666663</v>
      </c>
      <c r="J20">
        <v>0.5</v>
      </c>
      <c r="K20">
        <v>0.4</v>
      </c>
      <c r="L20">
        <v>0.33333333333333331</v>
      </c>
      <c r="M20">
        <v>0.2857142857142857</v>
      </c>
      <c r="N20">
        <v>0.2857142857142857</v>
      </c>
    </row>
    <row r="21" spans="1:14" x14ac:dyDescent="0.25">
      <c r="A21" t="s">
        <v>44</v>
      </c>
      <c r="B21" t="s">
        <v>74</v>
      </c>
      <c r="C21" t="s">
        <v>75</v>
      </c>
      <c r="D21" t="s">
        <v>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48</v>
      </c>
      <c r="B22" t="s">
        <v>77</v>
      </c>
      <c r="C22" t="s">
        <v>62</v>
      </c>
      <c r="D22" t="s">
        <v>78</v>
      </c>
      <c r="E22">
        <v>1</v>
      </c>
      <c r="F22">
        <v>1</v>
      </c>
      <c r="G22">
        <v>0.66666666666666663</v>
      </c>
      <c r="H22">
        <v>0.5</v>
      </c>
      <c r="I22">
        <v>0.4</v>
      </c>
      <c r="J22">
        <v>0.33333333333333331</v>
      </c>
      <c r="K22">
        <v>0.2857142857142857</v>
      </c>
      <c r="L22">
        <v>0.25</v>
      </c>
      <c r="M22">
        <v>0.22222222222222221</v>
      </c>
      <c r="N22">
        <v>0.2</v>
      </c>
    </row>
    <row r="23" spans="1:14" x14ac:dyDescent="0.25">
      <c r="E23">
        <f>AVERAGE(E13:E22)</f>
        <v>0.5</v>
      </c>
      <c r="F23">
        <f t="shared" ref="F23" si="1">AVERAGE(F13:F22)</f>
        <v>0.5</v>
      </c>
      <c r="G23">
        <f t="shared" ref="G23" si="2">AVERAGE(G13:G22)</f>
        <v>0.50000000000000011</v>
      </c>
      <c r="H23">
        <f t="shared" ref="H23" si="3">AVERAGE(H13:H22)</f>
        <v>0.46666666666666667</v>
      </c>
      <c r="I23">
        <f t="shared" ref="I23" si="4">AVERAGE(I13:I22)</f>
        <v>0.4366666666666667</v>
      </c>
      <c r="J23">
        <f t="shared" ref="J23" si="5">AVERAGE(J13:J22)</f>
        <v>0.37333333333333329</v>
      </c>
      <c r="K23">
        <f t="shared" ref="K23" si="6">AVERAGE(K13:K22)</f>
        <v>0.3328571428571428</v>
      </c>
      <c r="L23">
        <f t="shared" ref="L23" si="7">AVERAGE(L13:L22)</f>
        <v>0.30178571428571427</v>
      </c>
      <c r="M23">
        <f t="shared" ref="M23" si="8">AVERAGE(M13:M22)</f>
        <v>0.27480158730158727</v>
      </c>
      <c r="N23">
        <f t="shared" ref="N23" si="9">AVERAGE(N13:N22)</f>
        <v>0.26174603174603173</v>
      </c>
    </row>
    <row r="24" spans="1:14" x14ac:dyDescent="0.25">
      <c r="A24" t="s">
        <v>14</v>
      </c>
      <c r="B24" t="s">
        <v>79</v>
      </c>
      <c r="C24" t="s">
        <v>80</v>
      </c>
      <c r="D24" t="s">
        <v>81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0.8571428571428571</v>
      </c>
      <c r="L24">
        <v>0.75</v>
      </c>
      <c r="M24">
        <v>0.77777777777777779</v>
      </c>
      <c r="N24">
        <v>0.7</v>
      </c>
    </row>
    <row r="25" spans="1:14" x14ac:dyDescent="0.25">
      <c r="A25" t="s">
        <v>18</v>
      </c>
      <c r="B25" t="s">
        <v>82</v>
      </c>
      <c r="C25" t="s">
        <v>83</v>
      </c>
      <c r="D25" t="s">
        <v>84</v>
      </c>
      <c r="E25">
        <v>0</v>
      </c>
      <c r="F25">
        <v>0.5</v>
      </c>
      <c r="G25">
        <v>0.33333333333333331</v>
      </c>
      <c r="H25">
        <v>0.5</v>
      </c>
      <c r="I25">
        <v>0.5</v>
      </c>
      <c r="J25">
        <v>0.6</v>
      </c>
      <c r="K25">
        <v>0.5</v>
      </c>
      <c r="L25">
        <v>0.42857142857142849</v>
      </c>
      <c r="M25">
        <v>0.375</v>
      </c>
      <c r="N25">
        <v>0.33333333333333331</v>
      </c>
    </row>
    <row r="26" spans="1:14" x14ac:dyDescent="0.25">
      <c r="A26" t="s">
        <v>21</v>
      </c>
      <c r="B26" t="s">
        <v>85</v>
      </c>
      <c r="C26" t="s">
        <v>86</v>
      </c>
      <c r="D26" t="s">
        <v>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0.16666666666666671</v>
      </c>
      <c r="L26">
        <v>0.2857142857142857</v>
      </c>
      <c r="M26">
        <v>0.25</v>
      </c>
      <c r="N26">
        <v>0.22222222222222221</v>
      </c>
    </row>
    <row r="27" spans="1:14" x14ac:dyDescent="0.25">
      <c r="A27" t="s">
        <v>25</v>
      </c>
      <c r="B27" t="s">
        <v>88</v>
      </c>
      <c r="C27" t="s">
        <v>89</v>
      </c>
      <c r="D27" t="s">
        <v>90</v>
      </c>
      <c r="E27">
        <v>0</v>
      </c>
      <c r="F27">
        <v>0</v>
      </c>
      <c r="G27">
        <v>0</v>
      </c>
      <c r="H27">
        <v>0</v>
      </c>
      <c r="I27">
        <v>0.2</v>
      </c>
      <c r="J27">
        <v>0.33333333333333331</v>
      </c>
      <c r="K27">
        <v>0.2857142857142857</v>
      </c>
      <c r="L27">
        <v>0.375</v>
      </c>
      <c r="M27">
        <v>0.33333333333333331</v>
      </c>
      <c r="N27">
        <v>0.3</v>
      </c>
    </row>
    <row r="28" spans="1:14" x14ac:dyDescent="0.25">
      <c r="A28" t="s">
        <v>29</v>
      </c>
      <c r="B28" t="s">
        <v>91</v>
      </c>
      <c r="C28" t="s">
        <v>92</v>
      </c>
      <c r="D28" t="s">
        <v>93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0.8571428571428571</v>
      </c>
      <c r="M28">
        <v>0.875</v>
      </c>
      <c r="N28">
        <v>0.88888888888888884</v>
      </c>
    </row>
    <row r="29" spans="1:14" x14ac:dyDescent="0.25">
      <c r="A29" t="s">
        <v>33</v>
      </c>
      <c r="B29" t="s">
        <v>94</v>
      </c>
      <c r="C29" t="s">
        <v>95</v>
      </c>
      <c r="D29" t="s">
        <v>96</v>
      </c>
      <c r="E29">
        <v>1</v>
      </c>
      <c r="F29">
        <v>1</v>
      </c>
      <c r="G29">
        <v>1</v>
      </c>
      <c r="H29">
        <v>1</v>
      </c>
      <c r="I29">
        <v>1</v>
      </c>
      <c r="J29">
        <v>0.83333333333333337</v>
      </c>
      <c r="K29">
        <v>0.8571428571428571</v>
      </c>
      <c r="L29">
        <v>0.875</v>
      </c>
      <c r="M29">
        <v>0.88888888888888884</v>
      </c>
      <c r="N29">
        <v>0.8</v>
      </c>
    </row>
    <row r="30" spans="1:14" x14ac:dyDescent="0.25">
      <c r="A30" t="s">
        <v>37</v>
      </c>
      <c r="B30" t="s">
        <v>97</v>
      </c>
      <c r="C30" t="s">
        <v>98</v>
      </c>
      <c r="D30" t="s">
        <v>99</v>
      </c>
      <c r="E30">
        <v>0</v>
      </c>
      <c r="F30">
        <v>0</v>
      </c>
      <c r="G30">
        <v>0</v>
      </c>
      <c r="H30">
        <v>0.25</v>
      </c>
      <c r="I30">
        <v>0.2</v>
      </c>
      <c r="J30">
        <v>0.16666666666666671</v>
      </c>
      <c r="K30">
        <v>0.16666666666666671</v>
      </c>
      <c r="L30">
        <v>0.16666666666666671</v>
      </c>
      <c r="M30">
        <v>0.14285714285714279</v>
      </c>
      <c r="N30">
        <v>0.125</v>
      </c>
    </row>
    <row r="31" spans="1:14" x14ac:dyDescent="0.25">
      <c r="A31" t="s">
        <v>41</v>
      </c>
      <c r="B31" t="s">
        <v>100</v>
      </c>
      <c r="C31" t="s">
        <v>101</v>
      </c>
      <c r="D31" t="s">
        <v>102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44</v>
      </c>
      <c r="B32" t="s">
        <v>103</v>
      </c>
      <c r="C32" t="s">
        <v>104</v>
      </c>
      <c r="D32" t="s">
        <v>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108</v>
      </c>
      <c r="E33">
        <v>1</v>
      </c>
      <c r="F33">
        <v>1</v>
      </c>
      <c r="G33">
        <v>0.66666666666666663</v>
      </c>
      <c r="H33">
        <v>0.5</v>
      </c>
      <c r="I33">
        <v>0.4</v>
      </c>
      <c r="J33">
        <v>0.4</v>
      </c>
      <c r="K33">
        <v>0.33333333333333331</v>
      </c>
      <c r="L33">
        <v>0.33333333333333331</v>
      </c>
      <c r="M33">
        <v>0.33333333333333331</v>
      </c>
      <c r="N33">
        <v>0.2857142857142857</v>
      </c>
    </row>
    <row r="34" spans="1:14" x14ac:dyDescent="0.25">
      <c r="E34">
        <f>AVERAGE(E24:E33)</f>
        <v>0.4</v>
      </c>
      <c r="F34">
        <f t="shared" ref="F34" si="10">AVERAGE(F24:F33)</f>
        <v>0.45</v>
      </c>
      <c r="G34">
        <f t="shared" ref="G34" si="11">AVERAGE(G24:G33)</f>
        <v>0.39999999999999997</v>
      </c>
      <c r="H34">
        <f t="shared" ref="H34" si="12">AVERAGE(H24:H33)</f>
        <v>0.42499999999999999</v>
      </c>
      <c r="I34">
        <f t="shared" ref="I34" si="13">AVERAGE(I24:I33)</f>
        <v>0.43000000000000005</v>
      </c>
      <c r="J34">
        <f t="shared" ref="J34" si="14">AVERAGE(J24:J33)</f>
        <v>0.4333333333333334</v>
      </c>
      <c r="K34">
        <f t="shared" ref="K34" si="15">AVERAGE(K24:K33)</f>
        <v>0.41666666666666669</v>
      </c>
      <c r="L34">
        <f t="shared" ref="L34" si="16">AVERAGE(L24:L33)</f>
        <v>0.40714285714285714</v>
      </c>
      <c r="M34">
        <f t="shared" ref="M34" si="17">AVERAGE(M24:M33)</f>
        <v>0.39761904761904759</v>
      </c>
      <c r="N34">
        <f t="shared" ref="N34" si="18">AVERAGE(N24:N33)</f>
        <v>0.36551587301587302</v>
      </c>
    </row>
    <row r="35" spans="1:14" x14ac:dyDescent="0.25">
      <c r="A35" t="s">
        <v>14</v>
      </c>
      <c r="B35" t="s">
        <v>109</v>
      </c>
      <c r="C35" t="s">
        <v>110</v>
      </c>
      <c r="D35" t="s">
        <v>111</v>
      </c>
      <c r="E35">
        <v>0</v>
      </c>
      <c r="F35">
        <v>0.5</v>
      </c>
      <c r="G35">
        <v>0.33333333333333331</v>
      </c>
      <c r="H35">
        <v>0.25</v>
      </c>
      <c r="I35">
        <v>0.25</v>
      </c>
      <c r="J35">
        <v>0.25</v>
      </c>
      <c r="K35">
        <v>0.25</v>
      </c>
      <c r="L35">
        <v>0.2</v>
      </c>
      <c r="M35">
        <v>0.16666666666666671</v>
      </c>
      <c r="N35">
        <v>0.14285714285714279</v>
      </c>
    </row>
    <row r="36" spans="1:14" x14ac:dyDescent="0.25">
      <c r="A36" t="s">
        <v>18</v>
      </c>
      <c r="B36" t="s">
        <v>112</v>
      </c>
      <c r="C36" t="s">
        <v>113</v>
      </c>
      <c r="D36" t="s">
        <v>114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117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25</v>
      </c>
      <c r="B38" t="s">
        <v>118</v>
      </c>
      <c r="C38" t="s">
        <v>80</v>
      </c>
      <c r="D38" t="s">
        <v>119</v>
      </c>
      <c r="E38">
        <v>0</v>
      </c>
      <c r="F38">
        <v>0</v>
      </c>
      <c r="G38">
        <v>0.33333333333333331</v>
      </c>
      <c r="H38">
        <v>0.5</v>
      </c>
      <c r="I38">
        <v>0.4</v>
      </c>
      <c r="J38">
        <v>0.33333333333333331</v>
      </c>
      <c r="K38">
        <v>0.2857142857142857</v>
      </c>
      <c r="L38">
        <v>0.25</v>
      </c>
      <c r="M38">
        <v>0.33333333333333331</v>
      </c>
      <c r="N38">
        <v>0.3</v>
      </c>
    </row>
    <row r="39" spans="1:14" x14ac:dyDescent="0.25">
      <c r="A39" t="s">
        <v>29</v>
      </c>
      <c r="B39" t="s">
        <v>120</v>
      </c>
      <c r="C39" t="s">
        <v>121</v>
      </c>
      <c r="D39" t="s">
        <v>122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33</v>
      </c>
      <c r="B40" t="s">
        <v>123</v>
      </c>
      <c r="C40" t="s">
        <v>56</v>
      </c>
      <c r="D40" t="s">
        <v>124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37</v>
      </c>
      <c r="B41" t="s">
        <v>125</v>
      </c>
      <c r="C41" t="s">
        <v>126</v>
      </c>
      <c r="D41" t="s">
        <v>127</v>
      </c>
      <c r="E41">
        <v>0</v>
      </c>
      <c r="F41">
        <v>0.5</v>
      </c>
      <c r="G41">
        <v>0.33333333333333331</v>
      </c>
      <c r="H41">
        <v>0.25</v>
      </c>
      <c r="I41">
        <v>0.2</v>
      </c>
      <c r="J41">
        <v>0.16666666666666671</v>
      </c>
      <c r="K41">
        <v>0.16666666666666671</v>
      </c>
      <c r="L41">
        <v>0.14285714285714279</v>
      </c>
      <c r="M41">
        <v>0.125</v>
      </c>
      <c r="N41">
        <v>0.1111111111111111</v>
      </c>
    </row>
    <row r="42" spans="1:14" x14ac:dyDescent="0.25">
      <c r="A42" t="s">
        <v>41</v>
      </c>
      <c r="B42" t="s">
        <v>128</v>
      </c>
      <c r="C42" t="s">
        <v>129</v>
      </c>
      <c r="D42" t="s">
        <v>130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0.14285714285714279</v>
      </c>
      <c r="L42">
        <v>0.125</v>
      </c>
      <c r="M42">
        <v>0.1111111111111111</v>
      </c>
      <c r="N42">
        <v>0.1</v>
      </c>
    </row>
    <row r="43" spans="1:14" x14ac:dyDescent="0.25">
      <c r="A43" t="s">
        <v>44</v>
      </c>
      <c r="B43" t="s">
        <v>131</v>
      </c>
      <c r="C43" t="s">
        <v>132</v>
      </c>
      <c r="D43" t="s">
        <v>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136</v>
      </c>
      <c r="E44">
        <v>0</v>
      </c>
      <c r="F44">
        <v>0</v>
      </c>
      <c r="G44">
        <v>0</v>
      </c>
      <c r="H44">
        <v>0</v>
      </c>
      <c r="I44">
        <v>0.2</v>
      </c>
      <c r="J44">
        <v>0.33333333333333331</v>
      </c>
      <c r="K44">
        <v>0.2857142857142857</v>
      </c>
      <c r="L44">
        <v>0.25</v>
      </c>
      <c r="M44">
        <v>0.25</v>
      </c>
      <c r="N44">
        <v>0.22222222222222221</v>
      </c>
    </row>
    <row r="45" spans="1:14" x14ac:dyDescent="0.25">
      <c r="A45" t="s">
        <v>137</v>
      </c>
      <c r="B45" t="s">
        <v>138</v>
      </c>
      <c r="C45" t="s">
        <v>139</v>
      </c>
      <c r="D45" t="s">
        <v>140</v>
      </c>
      <c r="E45">
        <v>1</v>
      </c>
      <c r="F45">
        <v>1</v>
      </c>
      <c r="G45">
        <v>1</v>
      </c>
      <c r="H45">
        <v>0.5</v>
      </c>
      <c r="I45">
        <v>0.33333333333333331</v>
      </c>
      <c r="J45">
        <v>0.25</v>
      </c>
      <c r="K45">
        <v>0.2</v>
      </c>
      <c r="L45">
        <v>0.16666666666666671</v>
      </c>
      <c r="M45">
        <v>0.14285714285714279</v>
      </c>
      <c r="N45">
        <v>0.125</v>
      </c>
    </row>
    <row r="46" spans="1:14" x14ac:dyDescent="0.25">
      <c r="A46" t="s">
        <v>141</v>
      </c>
      <c r="B46" t="s">
        <v>142</v>
      </c>
      <c r="C46" t="s">
        <v>143</v>
      </c>
      <c r="D46" t="s">
        <v>144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145</v>
      </c>
      <c r="B47" t="s">
        <v>146</v>
      </c>
      <c r="C47" t="s">
        <v>147</v>
      </c>
      <c r="D47" t="s">
        <v>148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0.14285714285714279</v>
      </c>
      <c r="L47">
        <v>0.125</v>
      </c>
      <c r="M47">
        <v>0.1111111111111111</v>
      </c>
      <c r="N47">
        <v>0.1111111111111111</v>
      </c>
    </row>
    <row r="48" spans="1:14" x14ac:dyDescent="0.25">
      <c r="A48" t="s">
        <v>149</v>
      </c>
      <c r="B48" t="s">
        <v>150</v>
      </c>
      <c r="C48" t="s">
        <v>151</v>
      </c>
      <c r="D48" t="s">
        <v>152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153</v>
      </c>
      <c r="B49" t="s">
        <v>154</v>
      </c>
      <c r="C49" t="s">
        <v>155</v>
      </c>
      <c r="D49" t="s">
        <v>156</v>
      </c>
      <c r="E49">
        <v>0</v>
      </c>
      <c r="F49">
        <v>0</v>
      </c>
      <c r="G49">
        <v>0.33333333333333331</v>
      </c>
      <c r="H49">
        <v>0.25</v>
      </c>
      <c r="I49">
        <v>0.2</v>
      </c>
      <c r="J49">
        <v>0.16666666666666671</v>
      </c>
      <c r="K49">
        <v>0.14285714285714279</v>
      </c>
      <c r="L49">
        <v>0.125</v>
      </c>
      <c r="M49">
        <v>0.1111111111111111</v>
      </c>
      <c r="N49">
        <v>0.1</v>
      </c>
    </row>
    <row r="50" spans="1:14" x14ac:dyDescent="0.25">
      <c r="A50" t="s">
        <v>157</v>
      </c>
      <c r="B50" t="s">
        <v>158</v>
      </c>
      <c r="C50" t="s">
        <v>159</v>
      </c>
      <c r="D50" t="s">
        <v>160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0.14285714285714279</v>
      </c>
      <c r="M50">
        <v>0.125</v>
      </c>
      <c r="N50">
        <v>0.1111111111111111</v>
      </c>
    </row>
    <row r="51" spans="1:14" x14ac:dyDescent="0.25">
      <c r="A51" t="s">
        <v>161</v>
      </c>
      <c r="B51" t="s">
        <v>162</v>
      </c>
      <c r="C51" t="s">
        <v>163</v>
      </c>
      <c r="D51" t="s">
        <v>164</v>
      </c>
      <c r="E51">
        <v>0</v>
      </c>
      <c r="F51">
        <v>0</v>
      </c>
      <c r="G51">
        <v>0</v>
      </c>
      <c r="H51">
        <v>0</v>
      </c>
      <c r="I51">
        <v>0</v>
      </c>
      <c r="J51">
        <v>0.2</v>
      </c>
      <c r="K51">
        <v>0.16666666666666671</v>
      </c>
      <c r="L51">
        <v>0.14285714285714279</v>
      </c>
      <c r="M51">
        <v>0.125</v>
      </c>
      <c r="N51">
        <v>0.1111111111111111</v>
      </c>
    </row>
    <row r="52" spans="1:14" x14ac:dyDescent="0.25">
      <c r="A52" t="s">
        <v>165</v>
      </c>
      <c r="B52" t="s">
        <v>166</v>
      </c>
      <c r="C52" t="s">
        <v>167</v>
      </c>
      <c r="D52" t="s">
        <v>168</v>
      </c>
      <c r="E52">
        <v>1</v>
      </c>
      <c r="F52">
        <v>1</v>
      </c>
      <c r="G52">
        <v>0.66666666666666663</v>
      </c>
      <c r="H52">
        <v>0.5</v>
      </c>
      <c r="I52">
        <v>0.4</v>
      </c>
      <c r="J52">
        <v>0.33333333333333331</v>
      </c>
      <c r="K52">
        <v>0.42857142857142849</v>
      </c>
      <c r="L52">
        <v>0.375</v>
      </c>
      <c r="M52">
        <v>0.33333333333333331</v>
      </c>
      <c r="N52">
        <v>0.3</v>
      </c>
    </row>
    <row r="53" spans="1:14" x14ac:dyDescent="0.25">
      <c r="A53" t="s">
        <v>169</v>
      </c>
      <c r="B53" t="s">
        <v>170</v>
      </c>
      <c r="C53" t="s">
        <v>171</v>
      </c>
      <c r="D53" t="s">
        <v>172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173</v>
      </c>
      <c r="B54" t="s">
        <v>174</v>
      </c>
      <c r="C54" t="s">
        <v>175</v>
      </c>
      <c r="D54" t="s">
        <v>176</v>
      </c>
      <c r="E54">
        <v>0</v>
      </c>
      <c r="F54">
        <v>0</v>
      </c>
      <c r="G54">
        <v>0</v>
      </c>
      <c r="H54">
        <v>0</v>
      </c>
      <c r="I54">
        <v>0</v>
      </c>
      <c r="J54">
        <v>0.16666666666666671</v>
      </c>
      <c r="K54">
        <v>0.16666666666666671</v>
      </c>
      <c r="L54">
        <v>0.2857142857142857</v>
      </c>
      <c r="M54">
        <v>0.25</v>
      </c>
      <c r="N54">
        <v>0.22222222222222221</v>
      </c>
    </row>
    <row r="55" spans="1:14" x14ac:dyDescent="0.25">
      <c r="A55" t="s">
        <v>177</v>
      </c>
      <c r="B55" t="s">
        <v>178</v>
      </c>
      <c r="C55" t="s">
        <v>101</v>
      </c>
      <c r="D55" t="s">
        <v>179</v>
      </c>
      <c r="E55">
        <v>1</v>
      </c>
      <c r="F55">
        <v>1</v>
      </c>
      <c r="G55">
        <v>1</v>
      </c>
      <c r="H55">
        <v>0.66666666666666663</v>
      </c>
      <c r="I55">
        <v>0.75</v>
      </c>
      <c r="J55">
        <v>0.6</v>
      </c>
      <c r="K55">
        <v>0.5</v>
      </c>
      <c r="L55">
        <v>0.42857142857142849</v>
      </c>
      <c r="M55">
        <v>0.375</v>
      </c>
      <c r="N55">
        <v>0.44444444444444442</v>
      </c>
    </row>
    <row r="56" spans="1:14" x14ac:dyDescent="0.25">
      <c r="E56">
        <f>AVERAGE(E35:E55)</f>
        <v>0.14285714285714285</v>
      </c>
      <c r="F56">
        <f t="shared" ref="F56:N56" si="19">AVERAGE(F35:F55)</f>
        <v>0.19047619047619047</v>
      </c>
      <c r="G56">
        <f t="shared" si="19"/>
        <v>0.19047619047619047</v>
      </c>
      <c r="H56">
        <f t="shared" si="19"/>
        <v>0.1388888888888889</v>
      </c>
      <c r="I56">
        <f t="shared" si="19"/>
        <v>0.13015873015873017</v>
      </c>
      <c r="J56">
        <f t="shared" si="19"/>
        <v>0.13333333333333333</v>
      </c>
      <c r="K56">
        <f t="shared" si="19"/>
        <v>0.13707482993197276</v>
      </c>
      <c r="L56">
        <f t="shared" si="19"/>
        <v>0.13140589569160996</v>
      </c>
      <c r="M56">
        <f t="shared" si="19"/>
        <v>0.12188208616780044</v>
      </c>
      <c r="N56">
        <f t="shared" si="19"/>
        <v>0.11434240362811791</v>
      </c>
    </row>
    <row r="58" spans="1:14" x14ac:dyDescent="0.25">
      <c r="E58">
        <f>AVERAGE(E56,E34,E23,E12)</f>
        <v>0.51071428571428568</v>
      </c>
      <c r="F58">
        <f t="shared" ref="F58:N58" si="20">AVERAGE(F56,F34,F23,F12)</f>
        <v>0.46011904761904759</v>
      </c>
      <c r="G58">
        <f t="shared" si="20"/>
        <v>0.393452380952381</v>
      </c>
      <c r="H58">
        <f t="shared" si="20"/>
        <v>0.35972222222222222</v>
      </c>
      <c r="I58">
        <f t="shared" si="20"/>
        <v>0.34045634920634926</v>
      </c>
      <c r="J58">
        <f t="shared" si="20"/>
        <v>0.32500000000000001</v>
      </c>
      <c r="K58">
        <f t="shared" si="20"/>
        <v>0.30617346938775508</v>
      </c>
      <c r="L58">
        <f t="shared" si="20"/>
        <v>0.28686933106575963</v>
      </c>
      <c r="M58">
        <f t="shared" si="20"/>
        <v>0.27496456916099771</v>
      </c>
      <c r="N58">
        <f t="shared" si="20"/>
        <v>0.25651218820861676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3E5D7-42B8-426C-B6EE-736D959316C8}">
  <dimension ref="A1:N58"/>
  <sheetViews>
    <sheetView workbookViewId="0">
      <selection activeCell="X21" sqref="X2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180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5">
      <c r="A3" t="s">
        <v>18</v>
      </c>
      <c r="B3" t="s">
        <v>19</v>
      </c>
      <c r="C3" t="s">
        <v>16</v>
      </c>
      <c r="D3" t="s">
        <v>181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5">
      <c r="A4" t="s">
        <v>21</v>
      </c>
      <c r="B4" t="s">
        <v>22</v>
      </c>
      <c r="C4" t="s">
        <v>23</v>
      </c>
      <c r="D4" t="s">
        <v>182</v>
      </c>
      <c r="E4">
        <v>0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5">
      <c r="A5" t="s">
        <v>25</v>
      </c>
      <c r="B5" t="s">
        <v>26</v>
      </c>
      <c r="C5" t="s">
        <v>27</v>
      </c>
      <c r="D5" t="s">
        <v>183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 t="s">
        <v>29</v>
      </c>
      <c r="B6" t="s">
        <v>30</v>
      </c>
      <c r="C6" t="s">
        <v>31</v>
      </c>
      <c r="D6" t="s">
        <v>184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</v>
      </c>
      <c r="N6">
        <v>1</v>
      </c>
    </row>
    <row r="7" spans="1:14" x14ac:dyDescent="0.25">
      <c r="A7" t="s">
        <v>33</v>
      </c>
      <c r="B7" t="s">
        <v>34</v>
      </c>
      <c r="C7" t="s">
        <v>35</v>
      </c>
      <c r="D7" t="s">
        <v>185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5">
      <c r="A8" t="s">
        <v>37</v>
      </c>
      <c r="B8" t="s">
        <v>38</v>
      </c>
      <c r="C8" t="s">
        <v>39</v>
      </c>
      <c r="D8" t="s">
        <v>186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5">
      <c r="A9" t="s">
        <v>41</v>
      </c>
      <c r="B9" t="s">
        <v>42</v>
      </c>
      <c r="C9" t="s">
        <v>39</v>
      </c>
      <c r="D9" t="s">
        <v>187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5">
      <c r="A10" t="s">
        <v>44</v>
      </c>
      <c r="B10" t="s">
        <v>45</v>
      </c>
      <c r="C10" t="s">
        <v>46</v>
      </c>
      <c r="D10" t="s">
        <v>188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 t="s">
        <v>48</v>
      </c>
      <c r="B11" t="s">
        <v>49</v>
      </c>
      <c r="C11" t="s">
        <v>50</v>
      </c>
      <c r="D11" t="s">
        <v>189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5">
      <c r="E12">
        <f>AVERAGE(E2:E11)</f>
        <v>0.8</v>
      </c>
      <c r="F12">
        <f t="shared" ref="F12:N12" si="0">AVERAGE(F2:F11)</f>
        <v>0.9</v>
      </c>
      <c r="G12">
        <f t="shared" si="0"/>
        <v>0.9</v>
      </c>
      <c r="H12">
        <f t="shared" si="0"/>
        <v>0.9</v>
      </c>
      <c r="I12">
        <f t="shared" si="0"/>
        <v>0.9</v>
      </c>
      <c r="J12">
        <f t="shared" si="0"/>
        <v>0.9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1</v>
      </c>
    </row>
    <row r="13" spans="1:14" x14ac:dyDescent="0.25">
      <c r="A13" t="s">
        <v>14</v>
      </c>
      <c r="B13" t="s">
        <v>52</v>
      </c>
      <c r="C13" t="s">
        <v>53</v>
      </c>
      <c r="D13" t="s">
        <v>190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5">
      <c r="A14" t="s">
        <v>18</v>
      </c>
      <c r="B14" t="s">
        <v>55</v>
      </c>
      <c r="C14" t="s">
        <v>56</v>
      </c>
      <c r="D14" t="s">
        <v>191</v>
      </c>
      <c r="E14">
        <v>0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5">
      <c r="A15" t="s">
        <v>21</v>
      </c>
      <c r="B15" t="s">
        <v>58</v>
      </c>
      <c r="C15" t="s">
        <v>59</v>
      </c>
      <c r="D15" t="s">
        <v>192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5">
      <c r="A16" t="s">
        <v>25</v>
      </c>
      <c r="B16" t="s">
        <v>61</v>
      </c>
      <c r="C16" t="s">
        <v>62</v>
      </c>
      <c r="D16" t="s">
        <v>193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5">
      <c r="A17" t="s">
        <v>29</v>
      </c>
      <c r="B17" t="s">
        <v>64</v>
      </c>
      <c r="C17" t="s">
        <v>65</v>
      </c>
      <c r="D17" t="s">
        <v>194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5">
      <c r="A18" t="s">
        <v>33</v>
      </c>
      <c r="B18" t="s">
        <v>67</v>
      </c>
      <c r="C18" t="s">
        <v>65</v>
      </c>
      <c r="D18" t="s">
        <v>195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5">
      <c r="A19" t="s">
        <v>37</v>
      </c>
      <c r="B19" t="s">
        <v>69</v>
      </c>
      <c r="C19" t="s">
        <v>65</v>
      </c>
      <c r="D19" t="s">
        <v>196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5">
      <c r="A20" t="s">
        <v>41</v>
      </c>
      <c r="B20" t="s">
        <v>71</v>
      </c>
      <c r="C20" t="s">
        <v>72</v>
      </c>
      <c r="D20" t="s">
        <v>197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5">
      <c r="A21" t="s">
        <v>44</v>
      </c>
      <c r="B21" t="s">
        <v>74</v>
      </c>
      <c r="C21" t="s">
        <v>75</v>
      </c>
      <c r="D21" t="s">
        <v>198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t="s">
        <v>48</v>
      </c>
      <c r="B22" t="s">
        <v>77</v>
      </c>
      <c r="C22" t="s">
        <v>62</v>
      </c>
      <c r="D22" t="s">
        <v>199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5">
      <c r="E23">
        <f>AVERAGE(E13:E22)</f>
        <v>0.7</v>
      </c>
      <c r="F23">
        <f t="shared" ref="F23" si="1">AVERAGE(F13:F22)</f>
        <v>0.8</v>
      </c>
      <c r="G23">
        <f t="shared" ref="G23" si="2">AVERAGE(G13:G22)</f>
        <v>0.8</v>
      </c>
      <c r="H23">
        <f t="shared" ref="H23" si="3">AVERAGE(H13:H22)</f>
        <v>0.8</v>
      </c>
      <c r="I23">
        <f t="shared" ref="I23" si="4">AVERAGE(I13:I22)</f>
        <v>0.8</v>
      </c>
      <c r="J23">
        <f t="shared" ref="J23" si="5">AVERAGE(J13:J22)</f>
        <v>0.8</v>
      </c>
      <c r="K23">
        <f t="shared" ref="K23" si="6">AVERAGE(K13:K22)</f>
        <v>0.8</v>
      </c>
      <c r="L23">
        <f t="shared" ref="L23" si="7">AVERAGE(L13:L22)</f>
        <v>1</v>
      </c>
      <c r="M23">
        <f t="shared" ref="M23" si="8">AVERAGE(M13:M22)</f>
        <v>1</v>
      </c>
      <c r="N23">
        <f t="shared" ref="N23" si="9">AVERAGE(N13:N22)</f>
        <v>1</v>
      </c>
    </row>
    <row r="24" spans="1:14" x14ac:dyDescent="0.25">
      <c r="A24" t="s">
        <v>14</v>
      </c>
      <c r="B24" t="s">
        <v>79</v>
      </c>
      <c r="C24" t="s">
        <v>80</v>
      </c>
      <c r="D24" t="s">
        <v>200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 t="s">
        <v>18</v>
      </c>
      <c r="B25" t="s">
        <v>82</v>
      </c>
      <c r="C25" t="s">
        <v>83</v>
      </c>
      <c r="D25" t="s">
        <v>201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5">
      <c r="A26" t="s">
        <v>21</v>
      </c>
      <c r="B26" t="s">
        <v>85</v>
      </c>
      <c r="C26" t="s">
        <v>86</v>
      </c>
      <c r="D26" t="s">
        <v>202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25">
      <c r="A27" t="s">
        <v>25</v>
      </c>
      <c r="B27" t="s">
        <v>88</v>
      </c>
      <c r="C27" t="s">
        <v>89</v>
      </c>
      <c r="D27" t="s">
        <v>203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5">
      <c r="A28" t="s">
        <v>29</v>
      </c>
      <c r="B28" t="s">
        <v>91</v>
      </c>
      <c r="C28" t="s">
        <v>92</v>
      </c>
      <c r="D28" t="s">
        <v>204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5">
      <c r="A29" t="s">
        <v>33</v>
      </c>
      <c r="B29" t="s">
        <v>94</v>
      </c>
      <c r="C29" t="s">
        <v>95</v>
      </c>
      <c r="D29" t="s">
        <v>205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5">
      <c r="A30" t="s">
        <v>37</v>
      </c>
      <c r="B30" t="s">
        <v>97</v>
      </c>
      <c r="C30" t="s">
        <v>98</v>
      </c>
      <c r="D30" t="s">
        <v>206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25">
      <c r="A31" t="s">
        <v>41</v>
      </c>
      <c r="B31" t="s">
        <v>100</v>
      </c>
      <c r="C31" t="s">
        <v>101</v>
      </c>
      <c r="D31" t="s">
        <v>207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25">
      <c r="A32" t="s">
        <v>44</v>
      </c>
      <c r="B32" t="s">
        <v>103</v>
      </c>
      <c r="C32" t="s">
        <v>104</v>
      </c>
      <c r="D32" t="s">
        <v>208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209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5">
      <c r="E34">
        <f>AVERAGE(E24:E33)</f>
        <v>0.9</v>
      </c>
      <c r="F34">
        <f t="shared" ref="F34" si="10">AVERAGE(F24:F33)</f>
        <v>0.9</v>
      </c>
      <c r="G34">
        <f t="shared" ref="G34" si="11">AVERAGE(G24:G33)</f>
        <v>0.9</v>
      </c>
      <c r="H34">
        <f t="shared" ref="H34" si="12">AVERAGE(H24:H33)</f>
        <v>0.9</v>
      </c>
      <c r="I34">
        <f t="shared" ref="I34" si="13">AVERAGE(I24:I33)</f>
        <v>0.9</v>
      </c>
      <c r="J34">
        <f t="shared" ref="J34" si="14">AVERAGE(J24:J33)</f>
        <v>0.9</v>
      </c>
      <c r="K34">
        <f t="shared" ref="K34" si="15">AVERAGE(K24:K33)</f>
        <v>0.9</v>
      </c>
      <c r="L34">
        <f t="shared" ref="L34" si="16">AVERAGE(L24:L33)</f>
        <v>0.9</v>
      </c>
      <c r="M34">
        <f t="shared" ref="M34" si="17">AVERAGE(M24:M33)</f>
        <v>0.9</v>
      </c>
      <c r="N34">
        <f t="shared" ref="N34" si="18">AVERAGE(N24:N33)</f>
        <v>0.9</v>
      </c>
    </row>
    <row r="35" spans="1:14" x14ac:dyDescent="0.25">
      <c r="A35" t="s">
        <v>14</v>
      </c>
      <c r="B35" t="s">
        <v>109</v>
      </c>
      <c r="C35" t="s">
        <v>110</v>
      </c>
      <c r="D35" t="s">
        <v>210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t="s">
        <v>18</v>
      </c>
      <c r="B36" t="s">
        <v>112</v>
      </c>
      <c r="C36" t="s">
        <v>113</v>
      </c>
      <c r="D36" t="s">
        <v>211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212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 x14ac:dyDescent="0.25">
      <c r="A38" t="s">
        <v>25</v>
      </c>
      <c r="B38" t="s">
        <v>118</v>
      </c>
      <c r="C38" t="s">
        <v>80</v>
      </c>
      <c r="D38" t="s">
        <v>213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25">
      <c r="A39" t="s">
        <v>29</v>
      </c>
      <c r="B39" t="s">
        <v>120</v>
      </c>
      <c r="C39" t="s">
        <v>121</v>
      </c>
      <c r="D39" t="s">
        <v>214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33</v>
      </c>
      <c r="B40" t="s">
        <v>123</v>
      </c>
      <c r="C40" t="s">
        <v>56</v>
      </c>
      <c r="D40" t="s">
        <v>215</v>
      </c>
      <c r="E40">
        <v>0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 x14ac:dyDescent="0.25">
      <c r="A41" t="s">
        <v>37</v>
      </c>
      <c r="B41" t="s">
        <v>125</v>
      </c>
      <c r="C41" t="s">
        <v>126</v>
      </c>
      <c r="D41" t="s">
        <v>216</v>
      </c>
      <c r="E41">
        <v>0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25">
      <c r="A42" t="s">
        <v>41</v>
      </c>
      <c r="B42" t="s">
        <v>128</v>
      </c>
      <c r="C42" t="s">
        <v>129</v>
      </c>
      <c r="D42" t="s">
        <v>217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1</v>
      </c>
      <c r="M42">
        <v>1</v>
      </c>
      <c r="N42">
        <v>1</v>
      </c>
    </row>
    <row r="43" spans="1:14" x14ac:dyDescent="0.25">
      <c r="A43" t="s">
        <v>44</v>
      </c>
      <c r="B43" t="s">
        <v>131</v>
      </c>
      <c r="C43" t="s">
        <v>132</v>
      </c>
      <c r="D43" t="s">
        <v>218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219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5">
      <c r="A45" t="s">
        <v>137</v>
      </c>
      <c r="B45" t="s">
        <v>138</v>
      </c>
      <c r="C45" t="s">
        <v>139</v>
      </c>
      <c r="D45" t="s">
        <v>220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141</v>
      </c>
      <c r="B46" t="s">
        <v>142</v>
      </c>
      <c r="C46" t="s">
        <v>143</v>
      </c>
      <c r="D46" t="s">
        <v>221</v>
      </c>
      <c r="E46">
        <v>0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</row>
    <row r="47" spans="1:14" x14ac:dyDescent="0.25">
      <c r="A47" t="s">
        <v>145</v>
      </c>
      <c r="B47" t="s">
        <v>146</v>
      </c>
      <c r="C47" t="s">
        <v>147</v>
      </c>
      <c r="D47" t="s">
        <v>222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</row>
    <row r="48" spans="1:14" x14ac:dyDescent="0.25">
      <c r="A48" t="s">
        <v>149</v>
      </c>
      <c r="B48" t="s">
        <v>150</v>
      </c>
      <c r="C48" t="s">
        <v>151</v>
      </c>
      <c r="D48" t="s">
        <v>223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</row>
    <row r="49" spans="1:14" x14ac:dyDescent="0.25">
      <c r="A49" t="s">
        <v>153</v>
      </c>
      <c r="B49" t="s">
        <v>154</v>
      </c>
      <c r="C49" t="s">
        <v>155</v>
      </c>
      <c r="D49" t="s">
        <v>224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 spans="1:14" x14ac:dyDescent="0.25">
      <c r="A50" t="s">
        <v>157</v>
      </c>
      <c r="B50" t="s">
        <v>158</v>
      </c>
      <c r="C50" t="s">
        <v>159</v>
      </c>
      <c r="D50" t="s">
        <v>225</v>
      </c>
      <c r="E50">
        <v>0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</row>
    <row r="51" spans="1:14" x14ac:dyDescent="0.25">
      <c r="A51" t="s">
        <v>161</v>
      </c>
      <c r="B51" t="s">
        <v>162</v>
      </c>
      <c r="C51" t="s">
        <v>163</v>
      </c>
      <c r="D51" t="s">
        <v>226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25">
      <c r="A52" t="s">
        <v>165</v>
      </c>
      <c r="B52" t="s">
        <v>166</v>
      </c>
      <c r="C52" t="s">
        <v>167</v>
      </c>
      <c r="D52" t="s">
        <v>227</v>
      </c>
      <c r="E52">
        <v>0</v>
      </c>
      <c r="F52">
        <v>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25">
      <c r="A53" t="s">
        <v>169</v>
      </c>
      <c r="B53" t="s">
        <v>170</v>
      </c>
      <c r="C53" t="s">
        <v>171</v>
      </c>
      <c r="D53" t="s">
        <v>228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173</v>
      </c>
      <c r="B54" t="s">
        <v>174</v>
      </c>
      <c r="C54" t="s">
        <v>175</v>
      </c>
      <c r="D54" t="s">
        <v>229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1</v>
      </c>
      <c r="M54">
        <v>1</v>
      </c>
      <c r="N54">
        <v>1</v>
      </c>
    </row>
    <row r="55" spans="1:14" x14ac:dyDescent="0.25">
      <c r="A55" t="s">
        <v>177</v>
      </c>
      <c r="B55" t="s">
        <v>178</v>
      </c>
      <c r="C55" t="s">
        <v>101</v>
      </c>
      <c r="D55" t="s">
        <v>230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25">
      <c r="E56">
        <f>AVERAGE(E35:E55)</f>
        <v>0.23809523809523808</v>
      </c>
      <c r="F56">
        <f t="shared" ref="F56:N56" si="19">AVERAGE(F35:F55)</f>
        <v>0.38095238095238093</v>
      </c>
      <c r="G56">
        <f t="shared" si="19"/>
        <v>0.47619047619047616</v>
      </c>
      <c r="H56">
        <f t="shared" si="19"/>
        <v>0.52380952380952384</v>
      </c>
      <c r="I56">
        <f t="shared" si="19"/>
        <v>0.5714285714285714</v>
      </c>
      <c r="J56">
        <f t="shared" si="19"/>
        <v>0.61904761904761907</v>
      </c>
      <c r="K56">
        <f t="shared" si="19"/>
        <v>0.66666666666666663</v>
      </c>
      <c r="L56">
        <f t="shared" si="19"/>
        <v>0.66666666666666663</v>
      </c>
      <c r="M56">
        <f t="shared" si="19"/>
        <v>0.66666666666666663</v>
      </c>
      <c r="N56">
        <f t="shared" si="19"/>
        <v>0.66666666666666663</v>
      </c>
    </row>
    <row r="58" spans="1:14" x14ac:dyDescent="0.25">
      <c r="E58">
        <f>AVERAGE(E56,E34,E23,E12)</f>
        <v>0.65952380952380951</v>
      </c>
      <c r="F58">
        <f t="shared" ref="F58:N58" si="20">AVERAGE(F56,F34,F23,F12)</f>
        <v>0.74523809523809514</v>
      </c>
      <c r="G58">
        <f t="shared" si="20"/>
        <v>0.76904761904761909</v>
      </c>
      <c r="H58">
        <f t="shared" si="20"/>
        <v>0.78095238095238095</v>
      </c>
      <c r="I58">
        <f t="shared" si="20"/>
        <v>0.79285714285714282</v>
      </c>
      <c r="J58">
        <f t="shared" si="20"/>
        <v>0.80476190476190468</v>
      </c>
      <c r="K58">
        <f t="shared" si="20"/>
        <v>0.84166666666666667</v>
      </c>
      <c r="L58">
        <f t="shared" si="20"/>
        <v>0.89166666666666661</v>
      </c>
      <c r="M58">
        <f t="shared" si="20"/>
        <v>0.89166666666666661</v>
      </c>
      <c r="N58">
        <f t="shared" si="20"/>
        <v>0.89166666666666661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C467-FB50-46A0-8D40-D064C8E8DCB1}">
  <dimension ref="A1:N58"/>
  <sheetViews>
    <sheetView workbookViewId="0">
      <selection activeCell="E12" sqref="E1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</row>
    <row r="3" spans="1:14" x14ac:dyDescent="0.25">
      <c r="A3" t="s">
        <v>18</v>
      </c>
      <c r="B3" t="s">
        <v>19</v>
      </c>
      <c r="C3" t="s">
        <v>16</v>
      </c>
      <c r="D3" t="s">
        <v>20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</row>
    <row r="4" spans="1:14" x14ac:dyDescent="0.25">
      <c r="A4" t="s">
        <v>21</v>
      </c>
      <c r="B4" t="s">
        <v>22</v>
      </c>
      <c r="C4" t="s">
        <v>23</v>
      </c>
      <c r="D4" t="s">
        <v>24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 x14ac:dyDescent="0.25">
      <c r="A5" t="s">
        <v>25</v>
      </c>
      <c r="B5" t="s">
        <v>26</v>
      </c>
      <c r="C5" t="s">
        <v>27</v>
      </c>
      <c r="D5" t="s">
        <v>28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25">
      <c r="A6" t="s">
        <v>29</v>
      </c>
      <c r="B6" t="s">
        <v>30</v>
      </c>
      <c r="C6" t="s">
        <v>31</v>
      </c>
      <c r="D6" t="s">
        <v>32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25">
      <c r="A7" t="s">
        <v>33</v>
      </c>
      <c r="B7" t="s">
        <v>34</v>
      </c>
      <c r="C7" t="s">
        <v>35</v>
      </c>
      <c r="D7" t="s">
        <v>36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25">
      <c r="A8" t="s">
        <v>37</v>
      </c>
      <c r="B8" t="s">
        <v>38</v>
      </c>
      <c r="C8" t="s">
        <v>39</v>
      </c>
      <c r="D8" t="s">
        <v>40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25">
      <c r="A9" t="s">
        <v>41</v>
      </c>
      <c r="B9" t="s">
        <v>42</v>
      </c>
      <c r="C9" t="s">
        <v>39</v>
      </c>
      <c r="D9" t="s">
        <v>43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25">
      <c r="A10" t="s">
        <v>44</v>
      </c>
      <c r="B10" t="s">
        <v>45</v>
      </c>
      <c r="C10" t="s">
        <v>46</v>
      </c>
      <c r="D10" t="s">
        <v>47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25">
      <c r="A11" t="s">
        <v>48</v>
      </c>
      <c r="B11" t="s">
        <v>49</v>
      </c>
      <c r="C11" t="s">
        <v>50</v>
      </c>
      <c r="D11" t="s">
        <v>51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25">
      <c r="E12">
        <f>AVERAGE(E2:E11)</f>
        <v>1</v>
      </c>
      <c r="F12">
        <f t="shared" ref="F12:N12" si="0">AVERAGE(F2:F11)</f>
        <v>1</v>
      </c>
      <c r="G12">
        <f t="shared" si="0"/>
        <v>1</v>
      </c>
      <c r="H12">
        <f t="shared" si="0"/>
        <v>1</v>
      </c>
      <c r="I12">
        <f t="shared" si="0"/>
        <v>1</v>
      </c>
      <c r="J12">
        <f t="shared" si="0"/>
        <v>1</v>
      </c>
      <c r="K12">
        <f t="shared" si="0"/>
        <v>1</v>
      </c>
      <c r="L12">
        <f t="shared" si="0"/>
        <v>1</v>
      </c>
      <c r="M12">
        <f t="shared" si="0"/>
        <v>1</v>
      </c>
      <c r="N12">
        <f t="shared" si="0"/>
        <v>1</v>
      </c>
    </row>
    <row r="13" spans="1:14" x14ac:dyDescent="0.25">
      <c r="A13" t="s">
        <v>14</v>
      </c>
      <c r="B13" t="s">
        <v>52</v>
      </c>
      <c r="C13" t="s">
        <v>53</v>
      </c>
      <c r="D13" t="s">
        <v>54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 x14ac:dyDescent="0.25">
      <c r="A14" t="s">
        <v>18</v>
      </c>
      <c r="B14" t="s">
        <v>55</v>
      </c>
      <c r="C14" t="s">
        <v>56</v>
      </c>
      <c r="D14" t="s">
        <v>57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25">
      <c r="A15" t="s">
        <v>21</v>
      </c>
      <c r="B15" t="s">
        <v>58</v>
      </c>
      <c r="C15" t="s">
        <v>59</v>
      </c>
      <c r="D15" t="s">
        <v>60</v>
      </c>
      <c r="E15">
        <v>0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25">
      <c r="A16" t="s">
        <v>25</v>
      </c>
      <c r="B16" t="s">
        <v>61</v>
      </c>
      <c r="C16" t="s">
        <v>62</v>
      </c>
      <c r="D16" t="s">
        <v>63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25">
      <c r="A17" t="s">
        <v>29</v>
      </c>
      <c r="B17" t="s">
        <v>64</v>
      </c>
      <c r="C17" t="s">
        <v>65</v>
      </c>
      <c r="D17" t="s">
        <v>66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 x14ac:dyDescent="0.25">
      <c r="A18" t="s">
        <v>33</v>
      </c>
      <c r="B18" t="s">
        <v>67</v>
      </c>
      <c r="C18" t="s">
        <v>65</v>
      </c>
      <c r="D18" t="s">
        <v>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37</v>
      </c>
      <c r="B19" t="s">
        <v>69</v>
      </c>
      <c r="C19" t="s">
        <v>65</v>
      </c>
      <c r="D19" t="s">
        <v>70</v>
      </c>
      <c r="E19">
        <v>0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25">
      <c r="A20" t="s">
        <v>41</v>
      </c>
      <c r="B20" t="s">
        <v>71</v>
      </c>
      <c r="C20" t="s">
        <v>72</v>
      </c>
      <c r="D20" t="s">
        <v>73</v>
      </c>
      <c r="E20">
        <v>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25">
      <c r="A21" t="s">
        <v>44</v>
      </c>
      <c r="B21" t="s">
        <v>74</v>
      </c>
      <c r="C21" t="s">
        <v>75</v>
      </c>
      <c r="D21" t="s">
        <v>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48</v>
      </c>
      <c r="B22" t="s">
        <v>77</v>
      </c>
      <c r="C22" t="s">
        <v>62</v>
      </c>
      <c r="D22" t="s">
        <v>78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</row>
    <row r="23" spans="1:14" x14ac:dyDescent="0.25">
      <c r="E23">
        <f>AVERAGE(E13:E22)</f>
        <v>0.5</v>
      </c>
      <c r="F23">
        <f t="shared" ref="F23" si="1">AVERAGE(F13:F22)</f>
        <v>0.7</v>
      </c>
      <c r="G23">
        <f t="shared" ref="G23" si="2">AVERAGE(G13:G22)</f>
        <v>0.8</v>
      </c>
      <c r="H23">
        <f t="shared" ref="H23" si="3">AVERAGE(H13:H22)</f>
        <v>0.8</v>
      </c>
      <c r="I23">
        <f t="shared" ref="I23" si="4">AVERAGE(I13:I22)</f>
        <v>0.8</v>
      </c>
      <c r="J23">
        <f t="shared" ref="J23" si="5">AVERAGE(J13:J22)</f>
        <v>0.8</v>
      </c>
      <c r="K23">
        <f t="shared" ref="K23" si="6">AVERAGE(K13:K22)</f>
        <v>0.8</v>
      </c>
      <c r="L23">
        <f t="shared" ref="L23" si="7">AVERAGE(L13:L22)</f>
        <v>0.8</v>
      </c>
      <c r="M23">
        <f t="shared" ref="M23" si="8">AVERAGE(M13:M22)</f>
        <v>0.8</v>
      </c>
      <c r="N23">
        <f t="shared" ref="N23" si="9">AVERAGE(N13:N22)</f>
        <v>0.8</v>
      </c>
    </row>
    <row r="24" spans="1:14" x14ac:dyDescent="0.25">
      <c r="A24" t="s">
        <v>14</v>
      </c>
      <c r="B24" t="s">
        <v>79</v>
      </c>
      <c r="C24" t="s">
        <v>80</v>
      </c>
      <c r="D24" t="s">
        <v>81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25">
      <c r="A25" t="s">
        <v>18</v>
      </c>
      <c r="B25" t="s">
        <v>82</v>
      </c>
      <c r="C25" t="s">
        <v>83</v>
      </c>
      <c r="D25" t="s">
        <v>84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 x14ac:dyDescent="0.25">
      <c r="A26" t="s">
        <v>21</v>
      </c>
      <c r="B26" t="s">
        <v>85</v>
      </c>
      <c r="C26" t="s">
        <v>86</v>
      </c>
      <c r="D26" t="s">
        <v>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</row>
    <row r="27" spans="1:14" x14ac:dyDescent="0.25">
      <c r="A27" t="s">
        <v>25</v>
      </c>
      <c r="B27" t="s">
        <v>88</v>
      </c>
      <c r="C27" t="s">
        <v>89</v>
      </c>
      <c r="D27" t="s">
        <v>90</v>
      </c>
      <c r="E27">
        <v>0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</row>
    <row r="28" spans="1:14" x14ac:dyDescent="0.25">
      <c r="A28" t="s">
        <v>29</v>
      </c>
      <c r="B28" t="s">
        <v>91</v>
      </c>
      <c r="C28" t="s">
        <v>92</v>
      </c>
      <c r="D28" t="s">
        <v>93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 x14ac:dyDescent="0.25">
      <c r="A29" t="s">
        <v>33</v>
      </c>
      <c r="B29" t="s">
        <v>94</v>
      </c>
      <c r="C29" t="s">
        <v>95</v>
      </c>
      <c r="D29" t="s">
        <v>96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 x14ac:dyDescent="0.25">
      <c r="A30" t="s">
        <v>37</v>
      </c>
      <c r="B30" t="s">
        <v>97</v>
      </c>
      <c r="C30" t="s">
        <v>98</v>
      </c>
      <c r="D30" t="s">
        <v>99</v>
      </c>
      <c r="E30">
        <v>0</v>
      </c>
      <c r="F30">
        <v>0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</row>
    <row r="31" spans="1:14" x14ac:dyDescent="0.25">
      <c r="A31" t="s">
        <v>41</v>
      </c>
      <c r="B31" t="s">
        <v>100</v>
      </c>
      <c r="C31" t="s">
        <v>101</v>
      </c>
      <c r="D31" t="s">
        <v>102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44</v>
      </c>
      <c r="B32" t="s">
        <v>103</v>
      </c>
      <c r="C32" t="s">
        <v>104</v>
      </c>
      <c r="D32" t="s">
        <v>105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48</v>
      </c>
      <c r="B33" t="s">
        <v>106</v>
      </c>
      <c r="C33" t="s">
        <v>107</v>
      </c>
      <c r="D33" t="s">
        <v>108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25">
      <c r="E34">
        <f>AVERAGE(E24:E33)</f>
        <v>0.4</v>
      </c>
      <c r="F34">
        <f t="shared" ref="F34" si="10">AVERAGE(F24:F33)</f>
        <v>0.5</v>
      </c>
      <c r="G34">
        <f t="shared" ref="G34" si="11">AVERAGE(G24:G33)</f>
        <v>0.5</v>
      </c>
      <c r="H34">
        <f t="shared" ref="H34" si="12">AVERAGE(H24:H33)</f>
        <v>0.6</v>
      </c>
      <c r="I34">
        <f t="shared" ref="I34" si="13">AVERAGE(I24:I33)</f>
        <v>0.7</v>
      </c>
      <c r="J34">
        <f t="shared" ref="J34" si="14">AVERAGE(J24:J33)</f>
        <v>0.7</v>
      </c>
      <c r="K34">
        <f t="shared" ref="K34" si="15">AVERAGE(K24:K33)</f>
        <v>0.8</v>
      </c>
      <c r="L34">
        <f t="shared" ref="L34" si="16">AVERAGE(L24:L33)</f>
        <v>0.8</v>
      </c>
      <c r="M34">
        <f t="shared" ref="M34" si="17">AVERAGE(M24:M33)</f>
        <v>0.8</v>
      </c>
      <c r="N34">
        <f t="shared" ref="N34" si="18">AVERAGE(N24:N33)</f>
        <v>0.8</v>
      </c>
    </row>
    <row r="35" spans="1:14" x14ac:dyDescent="0.25">
      <c r="A35" t="s">
        <v>14</v>
      </c>
      <c r="B35" t="s">
        <v>109</v>
      </c>
      <c r="C35" t="s">
        <v>110</v>
      </c>
      <c r="D35" t="s">
        <v>111</v>
      </c>
      <c r="E35">
        <v>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</row>
    <row r="36" spans="1:14" x14ac:dyDescent="0.25">
      <c r="A36" t="s">
        <v>18</v>
      </c>
      <c r="B36" t="s">
        <v>112</v>
      </c>
      <c r="C36" t="s">
        <v>113</v>
      </c>
      <c r="D36" t="s">
        <v>114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21</v>
      </c>
      <c r="B37" t="s">
        <v>115</v>
      </c>
      <c r="C37" t="s">
        <v>116</v>
      </c>
      <c r="D37" t="s">
        <v>117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25</v>
      </c>
      <c r="B38" t="s">
        <v>118</v>
      </c>
      <c r="C38" t="s">
        <v>80</v>
      </c>
      <c r="D38" t="s">
        <v>119</v>
      </c>
      <c r="E38">
        <v>0</v>
      </c>
      <c r="F38">
        <v>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</row>
    <row r="39" spans="1:14" x14ac:dyDescent="0.25">
      <c r="A39" t="s">
        <v>29</v>
      </c>
      <c r="B39" t="s">
        <v>120</v>
      </c>
      <c r="C39" t="s">
        <v>121</v>
      </c>
      <c r="D39" t="s">
        <v>122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33</v>
      </c>
      <c r="B40" t="s">
        <v>123</v>
      </c>
      <c r="C40" t="s">
        <v>56</v>
      </c>
      <c r="D40" t="s">
        <v>124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 spans="1:14" x14ac:dyDescent="0.25">
      <c r="A41" t="s">
        <v>37</v>
      </c>
      <c r="B41" t="s">
        <v>125</v>
      </c>
      <c r="C41" t="s">
        <v>126</v>
      </c>
      <c r="D41" t="s">
        <v>127</v>
      </c>
      <c r="E41">
        <v>0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 x14ac:dyDescent="0.25">
      <c r="A42" t="s">
        <v>41</v>
      </c>
      <c r="B42" t="s">
        <v>128</v>
      </c>
      <c r="C42" t="s">
        <v>129</v>
      </c>
      <c r="D42" t="s">
        <v>130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</row>
    <row r="43" spans="1:14" x14ac:dyDescent="0.25">
      <c r="A43" t="s">
        <v>44</v>
      </c>
      <c r="B43" t="s">
        <v>131</v>
      </c>
      <c r="C43" t="s">
        <v>132</v>
      </c>
      <c r="D43" t="s">
        <v>133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t="s">
        <v>48</v>
      </c>
      <c r="B44" t="s">
        <v>134</v>
      </c>
      <c r="C44" t="s">
        <v>135</v>
      </c>
      <c r="D44" t="s">
        <v>136</v>
      </c>
      <c r="E44">
        <v>0</v>
      </c>
      <c r="F44">
        <v>0</v>
      </c>
      <c r="G44">
        <v>0</v>
      </c>
      <c r="H44">
        <v>0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 x14ac:dyDescent="0.25">
      <c r="A45" t="s">
        <v>137</v>
      </c>
      <c r="B45" t="s">
        <v>138</v>
      </c>
      <c r="C45" t="s">
        <v>139</v>
      </c>
      <c r="D45" t="s">
        <v>140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</row>
    <row r="46" spans="1:14" x14ac:dyDescent="0.25">
      <c r="A46" t="s">
        <v>141</v>
      </c>
      <c r="B46" t="s">
        <v>142</v>
      </c>
      <c r="C46" t="s">
        <v>143</v>
      </c>
      <c r="D46" t="s">
        <v>144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 spans="1:14" x14ac:dyDescent="0.25">
      <c r="A47" t="s">
        <v>145</v>
      </c>
      <c r="B47" t="s">
        <v>146</v>
      </c>
      <c r="C47" t="s">
        <v>147</v>
      </c>
      <c r="D47" t="s">
        <v>148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</v>
      </c>
      <c r="N47">
        <v>1</v>
      </c>
    </row>
    <row r="48" spans="1:14" x14ac:dyDescent="0.25">
      <c r="A48" t="s">
        <v>149</v>
      </c>
      <c r="B48" t="s">
        <v>150</v>
      </c>
      <c r="C48" t="s">
        <v>151</v>
      </c>
      <c r="D48" t="s">
        <v>152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153</v>
      </c>
      <c r="B49" t="s">
        <v>154</v>
      </c>
      <c r="C49" t="s">
        <v>155</v>
      </c>
      <c r="D49" t="s">
        <v>156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 x14ac:dyDescent="0.25">
      <c r="A50" t="s">
        <v>157</v>
      </c>
      <c r="B50" t="s">
        <v>158</v>
      </c>
      <c r="C50" t="s">
        <v>159</v>
      </c>
      <c r="D50" t="s">
        <v>160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</row>
    <row r="51" spans="1:14" x14ac:dyDescent="0.25">
      <c r="A51" t="s">
        <v>161</v>
      </c>
      <c r="B51" t="s">
        <v>162</v>
      </c>
      <c r="C51" t="s">
        <v>163</v>
      </c>
      <c r="D51" t="s">
        <v>164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1</v>
      </c>
      <c r="N51">
        <v>1</v>
      </c>
    </row>
    <row r="52" spans="1:14" x14ac:dyDescent="0.25">
      <c r="A52" t="s">
        <v>165</v>
      </c>
      <c r="B52" t="s">
        <v>166</v>
      </c>
      <c r="C52" t="s">
        <v>167</v>
      </c>
      <c r="D52" t="s">
        <v>168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 x14ac:dyDescent="0.25">
      <c r="A53" t="s">
        <v>169</v>
      </c>
      <c r="B53" t="s">
        <v>170</v>
      </c>
      <c r="C53" t="s">
        <v>171</v>
      </c>
      <c r="D53" t="s">
        <v>172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 spans="1:14" x14ac:dyDescent="0.25">
      <c r="A54" t="s">
        <v>173</v>
      </c>
      <c r="B54" t="s">
        <v>174</v>
      </c>
      <c r="C54" t="s">
        <v>175</v>
      </c>
      <c r="D54" t="s">
        <v>176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1</v>
      </c>
      <c r="L54">
        <v>1</v>
      </c>
      <c r="M54">
        <v>1</v>
      </c>
      <c r="N54">
        <v>1</v>
      </c>
    </row>
    <row r="55" spans="1:14" x14ac:dyDescent="0.25">
      <c r="A55" t="s">
        <v>177</v>
      </c>
      <c r="B55" t="s">
        <v>178</v>
      </c>
      <c r="C55" t="s">
        <v>101</v>
      </c>
      <c r="D55" t="s">
        <v>179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</row>
    <row r="56" spans="1:14" x14ac:dyDescent="0.25">
      <c r="E56">
        <f>AVERAGE(E35:E55)</f>
        <v>0.14285714285714285</v>
      </c>
      <c r="F56">
        <f t="shared" ref="F56:N56" si="19">AVERAGE(F35:F55)</f>
        <v>0.23809523809523808</v>
      </c>
      <c r="G56">
        <f t="shared" si="19"/>
        <v>0.33333333333333331</v>
      </c>
      <c r="H56">
        <f t="shared" si="19"/>
        <v>0.33333333333333331</v>
      </c>
      <c r="I56">
        <f t="shared" si="19"/>
        <v>0.38095238095238093</v>
      </c>
      <c r="J56">
        <f t="shared" si="19"/>
        <v>0.47619047619047616</v>
      </c>
      <c r="K56">
        <f t="shared" si="19"/>
        <v>0.5714285714285714</v>
      </c>
      <c r="L56">
        <f t="shared" si="19"/>
        <v>0.61904761904761907</v>
      </c>
      <c r="M56">
        <f t="shared" si="19"/>
        <v>0.61904761904761907</v>
      </c>
      <c r="N56">
        <f t="shared" si="19"/>
        <v>0.61904761904761907</v>
      </c>
    </row>
    <row r="58" spans="1:14" x14ac:dyDescent="0.25">
      <c r="E58">
        <f>AVERAGE(E56,E34,E23,E12)</f>
        <v>0.51071428571428568</v>
      </c>
      <c r="F58">
        <f t="shared" ref="F58:N58" si="20">AVERAGE(F56,F34,F23,F12)</f>
        <v>0.60952380952380958</v>
      </c>
      <c r="G58">
        <f t="shared" si="20"/>
        <v>0.65833333333333333</v>
      </c>
      <c r="H58">
        <f t="shared" si="20"/>
        <v>0.68333333333333335</v>
      </c>
      <c r="I58">
        <f t="shared" si="20"/>
        <v>0.72023809523809523</v>
      </c>
      <c r="J58">
        <f t="shared" si="20"/>
        <v>0.74404761904761907</v>
      </c>
      <c r="K58">
        <f t="shared" si="20"/>
        <v>0.79285714285714293</v>
      </c>
      <c r="L58">
        <f t="shared" si="20"/>
        <v>0.80476190476190479</v>
      </c>
      <c r="M58">
        <f t="shared" si="20"/>
        <v>0.80476190476190479</v>
      </c>
      <c r="N58">
        <f t="shared" si="20"/>
        <v>0.80476190476190479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6BFCE-1BBB-45BF-898D-E93A3B1E71DE}">
  <dimension ref="A1:K6"/>
  <sheetViews>
    <sheetView workbookViewId="0">
      <selection activeCell="H25" sqref="H25"/>
    </sheetView>
  </sheetViews>
  <sheetFormatPr defaultRowHeight="15" x14ac:dyDescent="0.25"/>
  <cols>
    <col min="1" max="1" width="27.140625" customWidth="1"/>
  </cols>
  <sheetData>
    <row r="1" spans="1:11" x14ac:dyDescent="0.25">
      <c r="A1" t="s">
        <v>233</v>
      </c>
    </row>
    <row r="2" spans="1:11" x14ac:dyDescent="0.25">
      <c r="A2" t="s">
        <v>231</v>
      </c>
      <c r="B2">
        <f>'e5'!E58</f>
        <v>0.51071428571428568</v>
      </c>
      <c r="C2">
        <f>'e5'!F58</f>
        <v>0.46011904761904759</v>
      </c>
      <c r="D2">
        <f>'e5'!G58</f>
        <v>0.393452380952381</v>
      </c>
      <c r="E2">
        <f>'e5'!H58</f>
        <v>0.35972222222222222</v>
      </c>
      <c r="F2">
        <f>'e5'!I58</f>
        <v>0.34045634920634926</v>
      </c>
      <c r="G2">
        <f>'e5'!J58</f>
        <v>0.32500000000000001</v>
      </c>
      <c r="H2">
        <f>'e5'!K58</f>
        <v>0.30617346938775508</v>
      </c>
      <c r="I2">
        <f>'e5'!L58</f>
        <v>0.28686933106575963</v>
      </c>
      <c r="J2">
        <f>'e5'!M58</f>
        <v>0.27496456916099771</v>
      </c>
      <c r="K2">
        <f>'e5'!N58</f>
        <v>0.25651218820861676</v>
      </c>
    </row>
    <row r="3" spans="1:11" x14ac:dyDescent="0.25">
      <c r="A3" t="s">
        <v>232</v>
      </c>
      <c r="B3">
        <f>alt_e5!E58</f>
        <v>0.51071428571428568</v>
      </c>
      <c r="C3">
        <f>alt_e5!F58</f>
        <v>0.60952380952380958</v>
      </c>
      <c r="D3">
        <f>alt_e5!G58</f>
        <v>0.65833333333333333</v>
      </c>
      <c r="E3">
        <f>alt_e5!H58</f>
        <v>0.68333333333333335</v>
      </c>
      <c r="F3">
        <f>alt_e5!I58</f>
        <v>0.72023809523809523</v>
      </c>
      <c r="G3">
        <f>alt_e5!J58</f>
        <v>0.74404761904761907</v>
      </c>
      <c r="H3">
        <f>alt_e5!K58</f>
        <v>0.79285714285714293</v>
      </c>
      <c r="I3">
        <f>alt_e5!L58</f>
        <v>0.80476190476190479</v>
      </c>
      <c r="J3">
        <f>alt_e5!M58</f>
        <v>0.80476190476190479</v>
      </c>
      <c r="K3">
        <f>alt_e5!N58</f>
        <v>0.80476190476190479</v>
      </c>
    </row>
    <row r="4" spans="1:11" x14ac:dyDescent="0.25">
      <c r="A4" t="s">
        <v>234</v>
      </c>
    </row>
    <row r="5" spans="1:11" x14ac:dyDescent="0.25">
      <c r="A5" t="s">
        <v>231</v>
      </c>
      <c r="B5">
        <f>qwen3_08B!E58</f>
        <v>0.65952380952380951</v>
      </c>
      <c r="C5">
        <f>qwen3_08B!F58</f>
        <v>0.60952380952380958</v>
      </c>
      <c r="D5">
        <f>qwen3_08B!G58</f>
        <v>0.53055555555555556</v>
      </c>
      <c r="E5">
        <f>qwen3_08B!H58</f>
        <v>0.47857142857142859</v>
      </c>
      <c r="F5">
        <f>qwen3_08B!I58</f>
        <v>0.43398809523809528</v>
      </c>
      <c r="G5">
        <f>qwen3_08B!J58</f>
        <v>0.41845238095238096</v>
      </c>
      <c r="H5">
        <f>qwen3_08B!K58</f>
        <v>0.39948979591836731</v>
      </c>
      <c r="I5">
        <f>qwen3_08B!L58</f>
        <v>0.39300595238095237</v>
      </c>
      <c r="J5">
        <f>qwen3_08B!M58</f>
        <v>0.38240740740740742</v>
      </c>
      <c r="K5">
        <f>qwen3_08B!N58</f>
        <v>0.36154761904761901</v>
      </c>
    </row>
    <row r="6" spans="1:11" x14ac:dyDescent="0.25">
      <c r="A6" t="s">
        <v>232</v>
      </c>
      <c r="B6">
        <f>alt_qwen3_08B!E58</f>
        <v>0.65952380952380951</v>
      </c>
      <c r="C6">
        <f>alt_qwen3_08B!F58</f>
        <v>0.74523809523809514</v>
      </c>
      <c r="D6">
        <f>alt_qwen3_08B!G58</f>
        <v>0.76904761904761909</v>
      </c>
      <c r="E6">
        <f>alt_qwen3_08B!H58</f>
        <v>0.78095238095238095</v>
      </c>
      <c r="F6">
        <f>alt_qwen3_08B!I58</f>
        <v>0.79285714285714282</v>
      </c>
      <c r="G6">
        <f>alt_qwen3_08B!J58</f>
        <v>0.80476190476190468</v>
      </c>
      <c r="H6">
        <f>alt_qwen3_08B!K58</f>
        <v>0.84166666666666667</v>
      </c>
      <c r="I6">
        <f>alt_qwen3_08B!L58</f>
        <v>0.89166666666666661</v>
      </c>
      <c r="J6">
        <f>alt_qwen3_08B!M58</f>
        <v>0.89166666666666661</v>
      </c>
      <c r="K6">
        <f>alt_qwen3_08B!N58</f>
        <v>0.89166666666666661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qwen3_08B</vt:lpstr>
      <vt:lpstr>e5</vt:lpstr>
      <vt:lpstr>alt_qwen3_08B</vt:lpstr>
      <vt:lpstr>alt_e5</vt:lpstr>
      <vt:lpstr>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 IVANOV</cp:lastModifiedBy>
  <dcterms:created xsi:type="dcterms:W3CDTF">2025-12-07T19:15:15Z</dcterms:created>
  <dcterms:modified xsi:type="dcterms:W3CDTF">2025-12-08T17:51:54Z</dcterms:modified>
</cp:coreProperties>
</file>