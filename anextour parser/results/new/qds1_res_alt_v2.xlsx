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778073F2-6437-49B1-B32B-9C088A2EEFE9}" xr6:coauthVersionLast="47" xr6:coauthVersionMax="47" xr10:uidLastSave="{00000000-0000-0000-0000-000000000000}"/>
  <bookViews>
    <workbookView xWindow="9555" yWindow="4575" windowWidth="2547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E12" i="1"/>
</calcChain>
</file>

<file path=xl/sharedStrings.xml><?xml version="1.0" encoding="utf-8"?>
<sst xmlns="http://schemas.openxmlformats.org/spreadsheetml/2006/main" count="49" uniqueCount="47">
  <si>
    <t>id</t>
  </si>
  <si>
    <t>question</t>
  </si>
  <si>
    <t>relv</t>
  </si>
  <si>
    <t>ret_chunks</t>
  </si>
  <si>
    <t>accB1</t>
  </si>
  <si>
    <t>accB2</t>
  </si>
  <si>
    <t>accB3</t>
  </si>
  <si>
    <t>accB4</t>
  </si>
  <si>
    <t>accB5</t>
  </si>
  <si>
    <t>0</t>
  </si>
  <si>
    <t>Какой вес имеет "Висячий камень" в парке Ергаки?</t>
  </si>
  <si>
    <t>[90, 123, 149, 190]</t>
  </si>
  <si>
    <t>[123, 123, 89, 89, 190]</t>
  </si>
  <si>
    <t>1</t>
  </si>
  <si>
    <t>Какова длина "Висячего камня" в парке Ергаки?</t>
  </si>
  <si>
    <t>[123, 123, 89, 89, 47]</t>
  </si>
  <si>
    <t>2</t>
  </si>
  <si>
    <t>Сколько ступеней в лестнице музея "Оглахты"?</t>
  </si>
  <si>
    <t>[47, 48, 89, 90, 147, 151]</t>
  </si>
  <si>
    <t>[147, 147, 89, 89, 90]</t>
  </si>
  <si>
    <t>3</t>
  </si>
  <si>
    <t>Сколько видов сыра предлагает сыроварня Deutsches Haus в Немане?</t>
  </si>
  <si>
    <t>[33]</t>
  </si>
  <si>
    <t>[33, 33, 34, 34, 35]</t>
  </si>
  <si>
    <t>4</t>
  </si>
  <si>
    <t>Сколько экспонатов в собрании Национального музея Республики Татарстан?</t>
  </si>
  <si>
    <t>[39]</t>
  </si>
  <si>
    <t>[155, 155, 18, 18, 39]</t>
  </si>
  <si>
    <t>5</t>
  </si>
  <si>
    <t>Сколько порогов проходят при сплаве по реке Катунь?</t>
  </si>
  <si>
    <t>[30, 31]</t>
  </si>
  <si>
    <t>[93, 93, 141, 141, 193]</t>
  </si>
  <si>
    <t>6</t>
  </si>
  <si>
    <t>Сколько островов входит в экскурсию "Семь чудес Чивыркуйского залива"?</t>
  </si>
  <si>
    <t>[41]</t>
  </si>
  <si>
    <t>[41, 41, 124, 124, 56]</t>
  </si>
  <si>
    <t>7</t>
  </si>
  <si>
    <t>Сколько бухт посещают во время экскурсии "Семь чудес Чивыркуйского залива"?</t>
  </si>
  <si>
    <t>[41, 41, 124, 124, 199]</t>
  </si>
  <si>
    <t>8</t>
  </si>
  <si>
    <t>Сколько источников с целебной водой можно попробовать на курорте "Марциальные Воды"?</t>
  </si>
  <si>
    <t>[9, 58, 156]</t>
  </si>
  <si>
    <t>[85, 85, 156, 156, 134]</t>
  </si>
  <si>
    <t>9</t>
  </si>
  <si>
    <t>Сколько живописных и графических работ представлено в галерее Константина Васильева?</t>
  </si>
  <si>
    <t>[15]</t>
  </si>
  <si>
    <t>[15, 15, 23, 23, 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</si>
</sst>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2" sqref="E12:I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13</v>
      </c>
      <c r="B3" t="s">
        <v>14</v>
      </c>
      <c r="C3" t="s">
        <v>11</v>
      </c>
      <c r="D3" t="s">
        <v>15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20</v>
      </c>
      <c r="B5" t="s">
        <v>21</v>
      </c>
      <c r="C5" t="s">
        <v>22</v>
      </c>
      <c r="D5" t="s">
        <v>23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>
        <v>0</v>
      </c>
      <c r="F6">
        <v>0</v>
      </c>
      <c r="G6">
        <v>0</v>
      </c>
      <c r="H6">
        <v>0</v>
      </c>
      <c r="I6">
        <v>1</v>
      </c>
    </row>
    <row r="7" spans="1:9" x14ac:dyDescent="0.25">
      <c r="A7" t="s">
        <v>28</v>
      </c>
      <c r="B7" t="s">
        <v>29</v>
      </c>
      <c r="C7" t="s">
        <v>30</v>
      </c>
      <c r="D7" t="s">
        <v>31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32</v>
      </c>
      <c r="B8" t="s">
        <v>33</v>
      </c>
      <c r="C8" t="s">
        <v>34</v>
      </c>
      <c r="D8" t="s">
        <v>35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t="s">
        <v>36</v>
      </c>
      <c r="B9" t="s">
        <v>37</v>
      </c>
      <c r="C9" t="s">
        <v>34</v>
      </c>
      <c r="D9" t="s">
        <v>38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39</v>
      </c>
      <c r="B10" t="s">
        <v>40</v>
      </c>
      <c r="C10" t="s">
        <v>41</v>
      </c>
      <c r="D10" t="s">
        <v>42</v>
      </c>
      <c r="E10">
        <v>0</v>
      </c>
      <c r="F10">
        <v>0</v>
      </c>
      <c r="G10">
        <v>1</v>
      </c>
      <c r="H10">
        <v>1</v>
      </c>
      <c r="I10">
        <v>1</v>
      </c>
    </row>
    <row r="11" spans="1:9" x14ac:dyDescent="0.25">
      <c r="A11" t="s">
        <v>43</v>
      </c>
      <c r="B11" t="s">
        <v>44</v>
      </c>
      <c r="C11" t="s">
        <v>45</v>
      </c>
      <c r="D11" t="s">
        <v>46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E12">
        <f>AVERAGE(E2:E11)</f>
        <v>0.7</v>
      </c>
      <c r="F12">
        <f t="shared" ref="F12:I12" si="0">AVERAGE(F2:F11)</f>
        <v>0.7</v>
      </c>
      <c r="G12">
        <f t="shared" si="0"/>
        <v>0.8</v>
      </c>
      <c r="H12">
        <f t="shared" si="0"/>
        <v>0.8</v>
      </c>
      <c r="I12">
        <f t="shared" si="0"/>
        <v>0.9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2025-10-27T19:28:03Z</dcterms:created>
  <dcterms:modified xsi:type="dcterms:W3CDTF">2025-10-27T19:29:20Z</dcterms:modified>
</cp:coreProperties>
</file>